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RECUPERADO 26-11-19\IOARR\IOARR GRAU\ENTREGADOS IOARR\IOARR, LOSA MAMARA FINAL\8.0 DESAGREGADO DE GASTOS\"/>
    </mc:Choice>
  </mc:AlternateContent>
  <bookViews>
    <workbookView xWindow="2310" yWindow="1155" windowWidth="15990" windowHeight="16125" tabRatio="690" activeTab="8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'C.Directo'!$B$36:$F$36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'C.Directo'!$A$1:$G$486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RESUMEN!$B$4:$G$33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4" i="25" l="1"/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F128" i="11" s="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84" i="27" l="1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E54" i="22"/>
  <c r="E55" i="22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 s="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 s="1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51" i="16" s="1"/>
  <c r="G143" i="16" s="1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D57" i="21"/>
  <c r="D68" i="21" s="1"/>
  <c r="E96" i="16"/>
  <c r="E76" i="16"/>
  <c r="D81" i="11"/>
  <c r="D100" i="11"/>
  <c r="E84" i="16"/>
  <c r="E95" i="16"/>
  <c r="E72" i="12"/>
  <c r="F43" i="16"/>
  <c r="F44" i="16" s="1"/>
  <c r="G35" i="16" s="1"/>
  <c r="E77" i="22"/>
  <c r="E87" i="22"/>
  <c r="E88" i="22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F35" i="21"/>
  <c r="F37" i="21" s="1"/>
  <c r="G28" i="21" s="1"/>
  <c r="E77" i="21"/>
  <c r="E47" i="21"/>
  <c r="F47" i="21" s="1"/>
  <c r="F49" i="21" s="1"/>
  <c r="E67" i="22"/>
  <c r="F67" i="22" s="1"/>
  <c r="E97" i="22"/>
  <c r="F97" i="22" s="1"/>
  <c r="F55" i="22"/>
  <c r="E108" i="22"/>
  <c r="E88" i="21"/>
  <c r="E66" i="22"/>
  <c r="F54" i="22"/>
  <c r="G141" i="12"/>
  <c r="E76" i="22"/>
  <c r="F76" i="22" s="1"/>
  <c r="E96" i="22"/>
  <c r="F96" i="22" s="1"/>
  <c r="E107" i="22"/>
  <c r="D92" i="11"/>
  <c r="F37" i="11"/>
  <c r="D108" i="11"/>
  <c r="D73" i="11"/>
  <c r="D134" i="11"/>
  <c r="D116" i="11"/>
  <c r="F45" i="11"/>
  <c r="D65" i="11"/>
  <c r="D77" i="21" l="1"/>
  <c r="D88" i="21" s="1"/>
  <c r="F88" i="21" s="1"/>
  <c r="F90" i="21" s="1"/>
  <c r="G81" i="21" s="1"/>
  <c r="F68" i="21"/>
  <c r="F70" i="21" s="1"/>
  <c r="F118" i="22"/>
  <c r="G113" i="22" s="1"/>
  <c r="F84" i="12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G26" i="25"/>
  <c r="F197" i="21"/>
  <c r="G189" i="21" s="1"/>
  <c r="F57" i="21"/>
  <c r="F59" i="21" s="1"/>
  <c r="F96" i="12"/>
  <c r="F76" i="16"/>
  <c r="F96" i="16"/>
  <c r="F94" i="12"/>
  <c r="F162" i="22"/>
  <c r="G156" i="22" s="1"/>
  <c r="F77" i="21"/>
  <c r="F79" i="21" s="1"/>
  <c r="G61" i="21" s="1"/>
  <c r="E60" i="12"/>
  <c r="F60" i="12" s="1"/>
  <c r="E50" i="12"/>
  <c r="F50" i="12" s="1"/>
  <c r="E62" i="12"/>
  <c r="F62" i="12" s="1"/>
  <c r="E52" i="12"/>
  <c r="F52" i="12" s="1"/>
  <c r="F77" i="22"/>
  <c r="E65" i="16"/>
  <c r="F65" i="16" s="1"/>
  <c r="E55" i="16"/>
  <c r="F55" i="16" s="1"/>
  <c r="G40" i="21"/>
  <c r="F56" i="22"/>
  <c r="G47" i="22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F98" i="22"/>
  <c r="G187" i="11"/>
  <c r="G17" i="11" s="1"/>
  <c r="D18" i="10" s="1"/>
  <c r="F131" i="11"/>
  <c r="F83" i="12"/>
  <c r="F99" i="11"/>
  <c r="F113" i="11"/>
  <c r="F138" i="12"/>
  <c r="G108" i="12" s="1"/>
  <c r="F88" i="22"/>
  <c r="F108" i="22"/>
  <c r="F109" i="22" s="1"/>
  <c r="G102" i="22" s="1"/>
  <c r="G100" i="22" s="1"/>
  <c r="F127" i="22"/>
  <c r="G121" i="22" s="1"/>
  <c r="G111" i="22" s="1"/>
  <c r="G15" i="22" s="1"/>
  <c r="F17" i="10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F89" i="22" s="1"/>
  <c r="G80" i="22" s="1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F78" i="22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G26" i="21" l="1"/>
  <c r="G14" i="21" s="1"/>
  <c r="G18" i="21" s="1"/>
  <c r="G200" i="21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G27" i="25" s="1"/>
  <c r="E19" i="10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I16" i="10" l="1"/>
  <c r="I21" i="10" s="1"/>
  <c r="G28" i="12"/>
  <c r="G14" i="12" s="1"/>
  <c r="H16" i="10" s="1"/>
  <c r="H21" i="10" s="1"/>
  <c r="G15" i="25"/>
  <c r="G471" i="13"/>
  <c r="G154" i="16"/>
  <c r="G28" i="11"/>
  <c r="G15" i="11" s="1"/>
  <c r="D16" i="10" s="1"/>
  <c r="G18" i="12" l="1"/>
  <c r="G158" i="12" s="1"/>
  <c r="G21" i="25" s="1"/>
  <c r="G19" i="11"/>
  <c r="G16" i="25" s="1"/>
  <c r="J18" i="25" s="1"/>
  <c r="E16" i="25" s="1"/>
  <c r="D21" i="10"/>
  <c r="D22" i="10" s="1"/>
  <c r="G16" i="10"/>
  <c r="K19" i="11" l="1"/>
  <c r="K22" i="11" s="1"/>
  <c r="K25" i="11" s="1"/>
  <c r="G204" i="11"/>
  <c r="K16" i="10"/>
  <c r="G17" i="25" l="1"/>
  <c r="G19" i="25" s="1"/>
  <c r="G23" i="25" l="1"/>
  <c r="E27" i="25" s="1"/>
  <c r="J21" i="25"/>
  <c r="E21" i="25" s="1"/>
  <c r="G19" i="10"/>
  <c r="G29" i="25" l="1"/>
  <c r="E25" i="25"/>
  <c r="E26" i="25"/>
  <c r="E21" i="10"/>
  <c r="K19" i="10"/>
  <c r="K21" i="10" s="1"/>
  <c r="L21" i="10" s="1"/>
  <c r="G21" i="10"/>
  <c r="B31" i="25"/>
  <c r="I154" i="16" l="1"/>
  <c r="I154" i="27"/>
  <c r="H22" i="10"/>
  <c r="I22" i="10"/>
</calcChain>
</file>

<file path=xl/sharedStrings.xml><?xml version="1.0" encoding="utf-8"?>
<sst xmlns="http://schemas.openxmlformats.org/spreadsheetml/2006/main" count="2149" uniqueCount="655">
  <si>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</si>
  <si>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</si>
  <si>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</si>
  <si>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</si>
  <si>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</si>
  <si>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</si>
  <si>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</si>
  <si>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</si>
  <si>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</si>
  <si>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</si>
  <si>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</si>
  <si>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</si>
  <si>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</si>
  <si>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</si>
  <si>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</si>
  <si>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</si>
  <si>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</si>
  <si>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</si>
  <si>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</si>
  <si>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</si>
  <si>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</si>
  <si>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</si>
  <si>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</si>
  <si>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</si>
  <si>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</si>
  <si>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</si>
  <si>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</si>
  <si>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</si>
  <si>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</si>
  <si>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</si>
  <si>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</si>
  <si>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</si>
  <si>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</si>
  <si>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</si>
  <si>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</si>
  <si>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</si>
  <si>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</si>
  <si>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</si>
  <si>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</si>
  <si>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</si>
  <si>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</si>
  <si>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</si>
  <si>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</si>
  <si>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</si>
  <si>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</si>
  <si>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</si>
  <si>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</si>
  <si>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</si>
  <si>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</si>
  <si>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</si>
  <si>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</si>
  <si>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</si>
  <si>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</si>
  <si>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</si>
  <si>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</si>
  <si>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</si>
  <si>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</si>
  <si>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</si>
  <si>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</si>
  <si>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</si>
  <si>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</si>
  <si>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</si>
  <si>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</si>
  <si>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</si>
  <si>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</si>
  <si>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</si>
  <si>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</si>
  <si>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</si>
  <si>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</si>
  <si>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</si>
  <si>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</si>
  <si>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</si>
  <si>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</si>
  <si>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</si>
  <si>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</si>
  <si>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</si>
  <si>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</si>
  <si>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</si>
  <si>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</si>
  <si>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</si>
  <si>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</si>
  <si>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</si>
  <si>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</si>
  <si>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</si>
  <si>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</si>
  <si>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</si>
  <si>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</si>
  <si>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</si>
  <si>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</si>
  <si>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</si>
  <si>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</si>
  <si>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</si>
  <si>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</si>
  <si>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</si>
  <si>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</si>
  <si>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</si>
  <si>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</si>
  <si>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</si>
  <si>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</si>
  <si>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</si>
  <si>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</si>
  <si>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</si>
  <si>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</si>
  <si>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</si>
  <si>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</si>
  <si>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</si>
  <si>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</si>
  <si>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</si>
  <si>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</si>
  <si>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</si>
  <si>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</si>
  <si>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</si>
  <si>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</si>
  <si>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</si>
  <si>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</si>
  <si>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</si>
  <si>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</si>
  <si>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</si>
  <si>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</si>
  <si>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</si>
  <si>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</si>
  <si>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</si>
  <si>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</si>
  <si>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</si>
  <si>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</si>
  <si>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</si>
  <si>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</si>
  <si>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</si>
  <si>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</si>
  <si>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</si>
  <si>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</si>
  <si>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</si>
  <si>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</si>
  <si>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</si>
  <si>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</si>
  <si>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</si>
  <si>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</si>
  <si>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</si>
  <si>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</si>
  <si>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</si>
  <si>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</si>
  <si>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</si>
  <si>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</si>
  <si>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</si>
  <si>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</si>
  <si>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</si>
  <si>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</si>
  <si>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</si>
  <si>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</si>
  <si>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</si>
  <si>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</si>
  <si>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</si>
  <si>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</si>
  <si>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</si>
  <si>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</si>
  <si>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</si>
  <si>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</si>
  <si>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</si>
  <si>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</si>
  <si>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</si>
  <si>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</si>
  <si>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</si>
  <si>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</si>
  <si>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</si>
  <si>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</si>
  <si>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</si>
  <si>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</si>
  <si>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</si>
  <si>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</si>
  <si>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</si>
  <si>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</si>
  <si>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</si>
  <si>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</si>
  <si>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</si>
  <si>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</si>
  <si>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</si>
  <si>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</si>
  <si>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</si>
  <si>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</si>
  <si>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</si>
  <si>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</si>
  <si>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</si>
  <si>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</si>
  <si>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</si>
  <si>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</si>
  <si>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</si>
  <si>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</si>
  <si>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</si>
  <si>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</si>
  <si>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</si>
  <si>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</si>
  <si>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</si>
  <si>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</si>
  <si>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</si>
  <si>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</si>
  <si>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</si>
  <si>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</si>
  <si>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</si>
  <si>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</si>
  <si>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</si>
  <si>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</si>
  <si>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</si>
  <si>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</si>
  <si>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</si>
  <si>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</si>
  <si>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</si>
  <si>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</si>
  <si>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</si>
  <si>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</si>
  <si>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</si>
  <si>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</si>
  <si>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</si>
  <si>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</si>
  <si>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</si>
  <si>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</si>
  <si>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</si>
  <si>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</si>
  <si>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</si>
  <si>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</si>
  <si>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</si>
  <si>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</si>
  <si>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</si>
  <si>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</si>
  <si>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</si>
  <si>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</si>
  <si>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</si>
  <si>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</si>
  <si>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</si>
  <si>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</si>
  <si>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</si>
  <si>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</si>
  <si>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</si>
  <si>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</si>
  <si>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</si>
  <si>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</si>
  <si>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</si>
  <si>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</si>
  <si>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</si>
  <si>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</si>
  <si>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</si>
  <si>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</si>
  <si>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</si>
  <si>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</si>
  <si>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</si>
  <si>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</si>
  <si>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</si>
  <si>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</si>
  <si>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</si>
  <si>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</si>
  <si>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</si>
  <si>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</si>
  <si>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</si>
  <si>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</si>
  <si>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</si>
  <si>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</si>
  <si>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</si>
  <si>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</si>
  <si>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</si>
  <si>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</si>
  <si>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</si>
  <si>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</si>
  <si>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</si>
  <si>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</si>
  <si>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</si>
  <si>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</si>
  <si>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</si>
  <si>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</si>
  <si>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</si>
  <si>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</si>
  <si>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</si>
  <si>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</si>
  <si>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</si>
  <si>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</si>
  <si>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</si>
  <si>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</si>
  <si>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</si>
  <si>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</si>
  <si>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</si>
  <si>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</si>
  <si>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</si>
  <si>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</si>
  <si>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</si>
  <si>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</si>
  <si>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</si>
  <si>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</si>
  <si>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</si>
  <si>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</si>
  <si>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</si>
  <si>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</si>
  <si>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</si>
  <si>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</si>
  <si>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</si>
  <si>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</si>
  <si>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</si>
  <si>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</si>
  <si>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</si>
  <si>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</si>
  <si>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</si>
  <si>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</si>
  <si>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</si>
  <si>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</si>
  <si>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</si>
  <si>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</si>
  <si>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</si>
  <si>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</si>
  <si>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</si>
  <si>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</si>
  <si>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</si>
  <si>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</si>
  <si>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</si>
  <si>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</si>
  <si>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</si>
  <si>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</si>
  <si>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</si>
  <si>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</si>
  <si>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</si>
  <si>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</si>
  <si>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</si>
  <si>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</si>
  <si>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</si>
  <si>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</si>
  <si>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</si>
  <si>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</si>
  <si>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</si>
  <si>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</si>
  <si>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</si>
  <si>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</si>
  <si>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</si>
  <si>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</si>
  <si>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</si>
  <si>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</si>
  <si>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</si>
  <si>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</si>
  <si>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</si>
  <si>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</si>
  <si>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</si>
  <si>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</si>
  <si>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</si>
  <si>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</si>
  <si>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</si>
  <si>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</si>
  <si>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</si>
  <si>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</si>
  <si>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</si>
  <si>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</si>
  <si>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</si>
  <si>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</si>
  <si>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</si>
  <si>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</si>
  <si>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</si>
  <si>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</si>
  <si>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</si>
  <si>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</si>
  <si>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</si>
  <si>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</si>
  <si>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</si>
  <si>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</si>
  <si>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</si>
  <si>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</si>
  <si>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</si>
  <si>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</si>
  <si>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</si>
  <si>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</si>
  <si>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</si>
  <si>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</si>
  <si>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</si>
  <si>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</si>
  <si>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</si>
  <si>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</si>
  <si>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</si>
  <si>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</si>
  <si>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</si>
  <si>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</si>
  <si>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</si>
  <si>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</si>
  <si>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</si>
  <si>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</si>
  <si>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</si>
  <si>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</si>
  <si>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</si>
  <si>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</si>
  <si>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</si>
  <si>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</si>
  <si>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</si>
  <si>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</si>
  <si>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</si>
  <si>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</si>
  <si>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</si>
  <si>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</si>
  <si>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</si>
  <si>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</si>
  <si>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</si>
  <si>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</si>
  <si>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</si>
  <si>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</si>
  <si>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</si>
  <si>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</si>
  <si>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</si>
  <si>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</si>
  <si>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</si>
  <si>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</si>
  <si>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</si>
  <si>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</si>
  <si>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</si>
  <si>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</si>
  <si>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</si>
  <si>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</si>
  <si>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</si>
  <si>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</si>
  <si>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</si>
  <si>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</si>
  <si>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</si>
  <si>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</si>
  <si>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</si>
  <si>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</si>
  <si>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</si>
  <si>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</si>
  <si>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</si>
  <si>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</si>
  <si>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</si>
  <si>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</si>
  <si>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</si>
  <si>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</si>
  <si>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</si>
  <si>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</si>
  <si>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</si>
  <si>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</si>
  <si>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</si>
  <si>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</si>
  <si>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</si>
  <si>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</si>
  <si>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</si>
  <si>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</si>
  <si>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</si>
  <si>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</si>
  <si>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</si>
  <si>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</si>
  <si>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</si>
  <si>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</si>
  <si>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</si>
  <si>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</si>
  <si>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</si>
  <si>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</si>
  <si>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</si>
  <si>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</si>
  <si>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</si>
  <si>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</si>
  <si>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</si>
  <si>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</si>
  <si>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</si>
  <si>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</si>
  <si>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</si>
  <si>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</si>
  <si>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</si>
  <si>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</si>
  <si>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</si>
  <si>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</si>
  <si>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</si>
  <si>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</si>
  <si>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</si>
  <si>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</si>
  <si>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</si>
  <si>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</si>
  <si>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</si>
  <si>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</si>
  <si>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</si>
  <si>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</si>
  <si>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</si>
  <si>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</si>
  <si>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</si>
  <si>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</si>
  <si>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</si>
  <si>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</si>
  <si>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</si>
  <si>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</si>
  <si>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</si>
  <si>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</si>
  <si>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</si>
  <si>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</si>
  <si>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</si>
  <si>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</si>
  <si>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</si>
  <si>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</si>
  <si>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</si>
  <si>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</si>
  <si>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</si>
  <si>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</si>
  <si>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</si>
  <si>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</si>
  <si>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</si>
  <si>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</si>
  <si>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</si>
  <si>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</si>
  <si>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</si>
  <si>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</si>
  <si>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</si>
  <si>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</si>
  <si>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</si>
  <si>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</si>
  <si>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</si>
  <si>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</si>
  <si>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</si>
  <si>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</si>
  <si>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</si>
  <si>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</si>
  <si>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</si>
  <si>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</si>
  <si>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</si>
  <si>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</si>
  <si>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</si>
  <si>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</si>
  <si>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</si>
  <si>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</si>
  <si>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</si>
  <si>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</si>
  <si>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</si>
  <si>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</si>
  <si>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</si>
  <si>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</si>
  <si>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</si>
  <si>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</si>
  <si>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</si>
  <si>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</si>
  <si>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</si>
  <si>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</si>
  <si>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</si>
  <si>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</si>
  <si>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</si>
  <si>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</si>
  <si>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</si>
  <si>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</si>
  <si>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</si>
  <si>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</si>
  <si>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</si>
  <si>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</si>
  <si>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</si>
  <si>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</si>
  <si>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</si>
  <si>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</si>
  <si>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</si>
  <si>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</si>
  <si>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</si>
  <si>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</si>
  <si>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</si>
  <si>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</si>
  <si>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</si>
  <si>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</si>
  <si>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</si>
  <si>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</si>
  <si>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</si>
  <si>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</si>
  <si>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</si>
  <si>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</si>
  <si>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</si>
  <si>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</si>
  <si>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</si>
  <si>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</si>
  <si>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</si>
  <si>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</si>
  <si>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</si>
  <si>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</si>
  <si>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</si>
  <si>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</si>
  <si>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</si>
  <si>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</si>
  <si>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</si>
  <si>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</si>
  <si>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</si>
  <si>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</si>
  <si>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</si>
  <si>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</si>
  <si>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</si>
  <si>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</si>
  <si>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</si>
  <si>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</si>
  <si>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</si>
  <si>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</si>
  <si>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</si>
  <si>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</si>
  <si>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</si>
  <si>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</si>
  <si>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</si>
  <si>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</si>
  <si>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</si>
  <si>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</si>
  <si>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</si>
  <si>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</si>
  <si>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</si>
  <si>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</si>
  <si>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</si>
  <si>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</si>
  <si>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</si>
  <si>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</si>
  <si>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</si>
  <si>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</si>
  <si>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</si>
  <si>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</si>
  <si>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</si>
  <si>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</si>
  <si>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</si>
  <si>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</si>
  <si>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</si>
  <si>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</si>
  <si>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</si>
  <si>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</si>
  <si>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</si>
  <si>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</si>
  <si>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</si>
  <si>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</si>
  <si>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</si>
  <si>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</si>
  <si>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</si>
  <si>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</si>
  <si>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</si>
  <si>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</si>
  <si>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</si>
  <si>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</si>
  <si>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</si>
  <si>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</si>
  <si>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</si>
  <si>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</si>
  <si>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</si>
  <si>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</si>
  <si>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</si>
  <si>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</si>
  <si>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</si>
  <si>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</si>
  <si>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</si>
  <si>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</si>
  <si>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</si>
  <si>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</si>
  <si>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</si>
  <si>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</si>
  <si>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</si>
  <si>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</si>
  <si>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</si>
  <si>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</si>
  <si>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</si>
  <si>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</si>
  <si>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</si>
  <si>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</si>
  <si>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</si>
  <si>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</si>
  <si>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</si>
  <si>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</si>
  <si>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</si>
  <si>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</si>
  <si>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</si>
  <si>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</si>
  <si>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</si>
  <si>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</si>
  <si>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</si>
  <si>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t>PROYECTO: “OPTIMIZACION MEDIANTE COBERTURA DE LA LOSA DEPORTIVA MULTIUSO DE LA INSTITUCION ADUCATIVA  SECUNDARIA "RAFAEL GRAU - MAMARA, DISTRITO - MAMARA, PROVINCIA - GRAU, DEPARTAMENTO - APURIMAC"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</si>
  <si>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MAMARA</t>
    </r>
  </si>
  <si>
    <t>OPTIMIZACION MEDIANTE COBERTURA DE LA LOSA DEPORTIVA MULTIUSO DE LA INSTITUCION ADUCATIVA  SECUNDARIA "RAFAEL GRAU - MAMARA, DISTRITO - MAMARA, PROVINCIA - GRAU, DEPARTAMENTO - APURIMAC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</si>
</sst>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General_)"/>
    <numFmt numFmtId="166" formatCode="0.00_)"/>
    <numFmt numFmtId="167" formatCode="#,##0.00;[Red]#,##0.00"/>
    <numFmt numFmtId="168" formatCode="#,##0.0000"/>
    <numFmt numFmtId="169" formatCode="#,##0.00_);\-#,##0.00"/>
    <numFmt numFmtId="170" formatCode="0.000%"/>
    <numFmt numFmtId="171" formatCode="&quot;S/.&quot;\ #,##0.00"/>
    <numFmt numFmtId="172" formatCode="0.0000000000"/>
  </numFmts>
  <fonts count="72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6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3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5" fontId="5" fillId="2" borderId="0" xfId="0" applyNumberFormat="1" applyFont="1" applyFill="1" applyAlignment="1" applyProtection="1">
      <alignment horizontal="left" vertical="center"/>
    </xf>
    <xf numFmtId="165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5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5" fontId="3" fillId="0" borderId="0" xfId="0" applyNumberFormat="1" applyFont="1" applyFill="1" applyBorder="1" applyAlignment="1" applyProtection="1">
      <alignment vertical="center"/>
    </xf>
    <xf numFmtId="165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5" fontId="5" fillId="0" borderId="0" xfId="0" applyNumberFormat="1" applyFont="1" applyFill="1" applyAlignment="1" applyProtection="1">
      <alignment horizontal="left" vertical="center"/>
    </xf>
    <xf numFmtId="165" fontId="3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5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5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5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5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Alignment="1" applyProtection="1">
      <alignment vertical="center"/>
    </xf>
    <xf numFmtId="165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5" fontId="13" fillId="0" borderId="0" xfId="0" applyNumberFormat="1" applyFont="1" applyFill="1" applyAlignment="1" applyProtection="1">
      <alignment horizontal="left" vertical="center"/>
    </xf>
    <xf numFmtId="165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5" fontId="20" fillId="0" borderId="0" xfId="0" applyNumberFormat="1" applyFont="1" applyFill="1" applyAlignment="1" applyProtection="1">
      <alignment horizontal="left" vertical="center"/>
    </xf>
    <xf numFmtId="165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horizontal="center" vertical="center"/>
    </xf>
    <xf numFmtId="166" fontId="12" fillId="0" borderId="0" xfId="0" applyNumberFormat="1" applyFont="1" applyFill="1" applyBorder="1" applyAlignment="1" applyProtection="1">
      <alignment vertical="center"/>
    </xf>
    <xf numFmtId="165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5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5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5" fontId="18" fillId="0" borderId="0" xfId="0" applyNumberFormat="1" applyFont="1" applyFill="1" applyBorder="1" applyAlignment="1" applyProtection="1">
      <alignment vertical="center"/>
    </xf>
    <xf numFmtId="165" fontId="19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5" fontId="18" fillId="0" borderId="0" xfId="0" applyNumberFormat="1" applyFont="1" applyFill="1" applyBorder="1" applyAlignment="1" applyProtection="1">
      <alignment horizontal="center" vertical="center"/>
    </xf>
    <xf numFmtId="165" fontId="17" fillId="0" borderId="0" xfId="0" applyNumberFormat="1" applyFont="1" applyFill="1" applyAlignment="1" applyProtection="1">
      <alignment horizontal="right" vertical="center"/>
    </xf>
    <xf numFmtId="165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7" fontId="17" fillId="0" borderId="0" xfId="0" applyNumberFormat="1" applyFont="1" applyFill="1" applyAlignment="1">
      <alignment horizontal="right" vertical="center"/>
    </xf>
    <xf numFmtId="165" fontId="19" fillId="0" borderId="0" xfId="0" applyNumberFormat="1" applyFont="1" applyFill="1" applyAlignment="1" applyProtection="1">
      <alignment horizontal="right" vertical="center"/>
    </xf>
    <xf numFmtId="165" fontId="19" fillId="0" borderId="0" xfId="0" applyNumberFormat="1" applyFont="1" applyFill="1" applyAlignment="1" applyProtection="1">
      <alignment horizontal="left" vertical="center"/>
    </xf>
    <xf numFmtId="165" fontId="18" fillId="0" borderId="0" xfId="0" applyNumberFormat="1" applyFont="1" applyFill="1" applyAlignment="1" applyProtection="1">
      <alignment vertical="center"/>
    </xf>
    <xf numFmtId="165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5" fontId="18" fillId="0" borderId="0" xfId="0" applyNumberFormat="1" applyFont="1" applyFill="1" applyBorder="1" applyAlignment="1" applyProtection="1">
      <alignment horizontal="left" vertical="center"/>
    </xf>
    <xf numFmtId="165" fontId="18" fillId="0" borderId="0" xfId="0" applyNumberFormat="1" applyFont="1" applyFill="1" applyBorder="1" applyAlignment="1" applyProtection="1">
      <alignment horizontal="centerContinuous" vertical="center"/>
    </xf>
    <xf numFmtId="165" fontId="16" fillId="0" borderId="0" xfId="0" applyNumberFormat="1" applyFont="1" applyFill="1" applyAlignment="1" applyProtection="1">
      <alignment vertical="center"/>
    </xf>
    <xf numFmtId="165" fontId="17" fillId="0" borderId="0" xfId="0" applyNumberFormat="1" applyFont="1" applyFill="1" applyAlignment="1" applyProtection="1">
      <alignment horizontal="center" vertical="center"/>
    </xf>
    <xf numFmtId="166" fontId="16" fillId="0" borderId="0" xfId="0" applyNumberFormat="1" applyFont="1" applyFill="1" applyAlignment="1" applyProtection="1">
      <alignment vertical="center"/>
    </xf>
    <xf numFmtId="165" fontId="19" fillId="0" borderId="0" xfId="0" quotePrefix="1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8" fillId="0" borderId="0" xfId="0" applyNumberFormat="1" applyFont="1" applyFill="1" applyAlignment="1" applyProtection="1">
      <alignment horizontal="center" vertical="center"/>
    </xf>
    <xf numFmtId="165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8" fontId="15" fillId="0" borderId="3" xfId="0" applyNumberFormat="1" applyFont="1" applyFill="1" applyBorder="1" applyAlignment="1" applyProtection="1">
      <alignment horizontal="center" vertical="center"/>
    </xf>
    <xf numFmtId="168" fontId="12" fillId="0" borderId="0" xfId="0" applyNumberFormat="1" applyFont="1" applyFill="1" applyBorder="1" applyAlignment="1" applyProtection="1">
      <alignment horizontal="right" vertical="center"/>
    </xf>
    <xf numFmtId="165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5" fontId="12" fillId="0" borderId="0" xfId="0" quotePrefix="1" applyNumberFormat="1" applyFont="1" applyFill="1" applyAlignment="1" applyProtection="1">
      <alignment horizontal="left" vertical="center"/>
    </xf>
    <xf numFmtId="164" fontId="12" fillId="0" borderId="2" xfId="3" applyFont="1" applyFill="1" applyBorder="1" applyAlignment="1">
      <alignment horizontal="center" vertical="center"/>
    </xf>
    <xf numFmtId="165" fontId="4" fillId="0" borderId="0" xfId="0" applyNumberFormat="1" applyFont="1" applyFill="1" applyBorder="1" applyAlignment="1" applyProtection="1">
      <alignment horizontal="center" vertical="center"/>
    </xf>
    <xf numFmtId="165" fontId="20" fillId="0" borderId="3" xfId="0" applyNumberFormat="1" applyFont="1" applyFill="1" applyBorder="1" applyAlignment="1" applyProtection="1">
      <alignment horizontal="left" vertical="center"/>
    </xf>
    <xf numFmtId="165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5" fontId="4" fillId="3" borderId="7" xfId="0" applyNumberFormat="1" applyFont="1" applyFill="1" applyBorder="1" applyAlignment="1" applyProtection="1">
      <alignment horizontal="center" vertical="center"/>
    </xf>
    <xf numFmtId="165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5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7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5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5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5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5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5" fontId="23" fillId="0" borderId="0" xfId="0" quotePrefix="1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5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5" fontId="25" fillId="0" borderId="0" xfId="0" quotePrefix="1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" vertical="center"/>
    </xf>
    <xf numFmtId="165" fontId="27" fillId="0" borderId="0" xfId="0" applyNumberFormat="1" applyFont="1" applyFill="1" applyBorder="1" applyAlignment="1" applyProtection="1">
      <alignment vertical="center"/>
    </xf>
    <xf numFmtId="165" fontId="28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vertical="center"/>
    </xf>
    <xf numFmtId="165" fontId="27" fillId="0" borderId="0" xfId="0" applyNumberFormat="1" applyFont="1" applyFill="1" applyBorder="1" applyAlignment="1" applyProtection="1">
      <alignment horizontal="center" vertical="center"/>
    </xf>
    <xf numFmtId="43" fontId="12" fillId="2" borderId="0" xfId="1" applyFont="1" applyFill="1" applyAlignment="1">
      <alignment vertical="center"/>
    </xf>
    <xf numFmtId="170" fontId="12" fillId="2" borderId="0" xfId="0" applyNumberFormat="1" applyFont="1" applyFill="1" applyAlignment="1">
      <alignment vertical="center"/>
    </xf>
    <xf numFmtId="165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5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5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69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5" fontId="7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center" vertical="center"/>
    </xf>
    <xf numFmtId="165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5" fontId="7" fillId="0" borderId="18" xfId="0" applyNumberFormat="1" applyFont="1" applyFill="1" applyBorder="1" applyAlignment="1" applyProtection="1">
      <alignment horizontal="left" vertical="center"/>
    </xf>
    <xf numFmtId="165" fontId="3" fillId="0" borderId="7" xfId="0" applyNumberFormat="1" applyFont="1" applyFill="1" applyBorder="1" applyAlignment="1" applyProtection="1">
      <alignment horizontal="left" vertical="center"/>
    </xf>
    <xf numFmtId="165" fontId="3" fillId="0" borderId="11" xfId="0" applyNumberFormat="1" applyFont="1" applyFill="1" applyBorder="1" applyAlignment="1" applyProtection="1">
      <alignment horizontal="left" vertical="center"/>
    </xf>
    <xf numFmtId="165" fontId="3" fillId="0" borderId="22" xfId="0" applyNumberFormat="1" applyFont="1" applyFill="1" applyBorder="1" applyAlignment="1" applyProtection="1">
      <alignment horizontal="left" vertical="center"/>
    </xf>
    <xf numFmtId="165" fontId="3" fillId="0" borderId="23" xfId="0" applyNumberFormat="1" applyFont="1" applyFill="1" applyBorder="1" applyAlignment="1" applyProtection="1">
      <alignment horizontal="left" vertical="center"/>
    </xf>
    <xf numFmtId="165" fontId="3" fillId="0" borderId="4" xfId="0" applyNumberFormat="1" applyFont="1" applyFill="1" applyBorder="1" applyAlignment="1" applyProtection="1">
      <alignment horizontal="left" vertical="center"/>
    </xf>
    <xf numFmtId="165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5" fontId="15" fillId="9" borderId="31" xfId="0" applyNumberFormat="1" applyFont="1" applyFill="1" applyBorder="1" applyAlignment="1" applyProtection="1">
      <alignment horizontal="center" vertical="center"/>
    </xf>
    <xf numFmtId="165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5" fontId="32" fillId="0" borderId="0" xfId="0" applyNumberFormat="1" applyFont="1" applyFill="1" applyBorder="1" applyAlignment="1" applyProtection="1">
      <alignment horizontal="center" vertical="center"/>
    </xf>
    <xf numFmtId="165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5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69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69" fontId="11" fillId="0" borderId="3" xfId="2" applyNumberFormat="1" applyFont="1" applyBorder="1" applyAlignment="1">
      <alignment vertical="center"/>
    </xf>
    <xf numFmtId="43" fontId="3" fillId="0" borderId="3" xfId="2" applyFont="1" applyFill="1" applyBorder="1" applyAlignment="1">
      <alignment horizontal="right" vertical="center"/>
    </xf>
    <xf numFmtId="43" fontId="11" fillId="0" borderId="3" xfId="2" applyFont="1" applyBorder="1" applyAlignment="1">
      <alignment horizontal="center" vertical="center"/>
    </xf>
    <xf numFmtId="43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43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1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1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1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1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171" fontId="56" fillId="11" borderId="38" xfId="0" applyNumberFormat="1" applyFont="1" applyFill="1" applyBorder="1" applyAlignment="1">
      <alignment horizontal="center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1" fontId="67" fillId="11" borderId="37" xfId="0" applyNumberFormat="1" applyFont="1" applyFill="1" applyBorder="1" applyAlignment="1">
      <alignment horizontal="center"/>
    </xf>
    <xf numFmtId="171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9" xfId="0" applyFont="1" applyBorder="1"/>
    <xf numFmtId="0" fontId="56" fillId="0" borderId="25" xfId="0" applyFont="1" applyBorder="1"/>
    <xf numFmtId="0" fontId="56" fillId="0" borderId="40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1" fontId="56" fillId="11" borderId="40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Border="1"/>
    <xf numFmtId="165" fontId="1" fillId="0" borderId="0" xfId="0" applyNumberFormat="1" applyFont="1" applyFill="1" applyAlignment="1" applyProtection="1">
      <alignment horizontal="left" vertical="center"/>
    </xf>
    <xf numFmtId="0" fontId="71" fillId="11" borderId="46" xfId="0" applyFont="1" applyFill="1" applyBorder="1" applyAlignment="1">
      <alignment horizontal="center" vertical="center" wrapText="1"/>
    </xf>
    <xf numFmtId="0" fontId="71" fillId="11" borderId="47" xfId="0" applyFont="1" applyFill="1" applyBorder="1" applyAlignment="1">
      <alignment horizontal="center" vertical="center" wrapText="1"/>
    </xf>
    <xf numFmtId="0" fontId="71" fillId="11" borderId="48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48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40" xfId="0" applyFont="1" applyBorder="1" applyAlignment="1">
      <alignment horizontal="center" vertical="center" wrapText="1"/>
    </xf>
    <xf numFmtId="0" fontId="70" fillId="11" borderId="0" xfId="0" applyFont="1" applyFill="1" applyBorder="1" applyAlignment="1">
      <alignment horizontal="center" vertical="center" wrapText="1"/>
    </xf>
    <xf numFmtId="0" fontId="56" fillId="11" borderId="0" xfId="0" applyFont="1" applyFill="1" applyBorder="1" applyAlignment="1">
      <alignment horizontal="center" vertical="center"/>
    </xf>
    <xf numFmtId="165" fontId="4" fillId="3" borderId="4" xfId="0" applyNumberFormat="1" applyFont="1" applyFill="1" applyBorder="1" applyAlignment="1" applyProtection="1">
      <alignment horizontal="center" vertical="center"/>
    </xf>
    <xf numFmtId="165" fontId="4" fillId="3" borderId="15" xfId="0" applyNumberFormat="1" applyFont="1" applyFill="1" applyBorder="1" applyAlignment="1" applyProtection="1">
      <alignment horizontal="center" vertical="center"/>
    </xf>
    <xf numFmtId="165" fontId="4" fillId="3" borderId="16" xfId="0" applyNumberFormat="1" applyFont="1" applyFill="1" applyBorder="1" applyAlignment="1" applyProtection="1">
      <alignment horizontal="center" vertical="center"/>
    </xf>
    <xf numFmtId="165" fontId="4" fillId="3" borderId="5" xfId="0" applyNumberFormat="1" applyFont="1" applyFill="1" applyBorder="1" applyAlignment="1" applyProtection="1">
      <alignment horizontal="center" vertical="center"/>
    </xf>
    <xf numFmtId="165" fontId="4" fillId="3" borderId="0" xfId="0" applyNumberFormat="1" applyFont="1" applyFill="1" applyBorder="1" applyAlignment="1" applyProtection="1">
      <alignment horizontal="center" vertical="center"/>
    </xf>
    <xf numFmtId="165" fontId="4" fillId="3" borderId="10" xfId="0" applyNumberFormat="1" applyFont="1" applyFill="1" applyBorder="1" applyAlignment="1" applyProtection="1">
      <alignment horizontal="center" vertical="center"/>
    </xf>
    <xf numFmtId="4" fontId="10" fillId="3" borderId="41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Alignment="1" applyProtection="1">
      <alignment horizontal="left" vertical="center" wrapText="1"/>
    </xf>
    <xf numFmtId="165" fontId="32" fillId="0" borderId="0" xfId="0" applyNumberFormat="1" applyFont="1" applyFill="1" applyBorder="1" applyAlignment="1" applyProtection="1">
      <alignment horizontal="center" vertical="center"/>
    </xf>
    <xf numFmtId="165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5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5" fontId="7" fillId="7" borderId="43" xfId="0" applyNumberFormat="1" applyFont="1" applyFill="1" applyBorder="1" applyAlignment="1" applyProtection="1">
      <alignment horizontal="center" vertical="center"/>
    </xf>
    <xf numFmtId="0" fontId="0" fillId="0" borderId="42" xfId="0" applyBorder="1"/>
    <xf numFmtId="0" fontId="0" fillId="0" borderId="35" xfId="0" applyBorder="1"/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165" fontId="7" fillId="7" borderId="34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4" fontId="17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65" fontId="23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Border="1" applyAlignment="1" applyProtection="1">
      <alignment horizontal="center" vertical="center"/>
    </xf>
    <xf numFmtId="165" fontId="1" fillId="0" borderId="0" xfId="0" applyNumberFormat="1" applyFont="1" applyFill="1" applyAlignment="1" applyProtection="1">
      <alignment horizontal="left" vertical="center" wrapText="1"/>
    </xf>
    <xf numFmtId="165" fontId="15" fillId="7" borderId="24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39" fontId="15" fillId="2" borderId="45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165" fontId="23" fillId="0" borderId="0" xfId="0" applyNumberFormat="1" applyFont="1" applyFill="1" applyAlignment="1" applyProtection="1">
      <alignment horizontal="center" vertical="center"/>
    </xf>
    <xf numFmtId="165" fontId="12" fillId="0" borderId="0" xfId="0" applyNumberFormat="1" applyFont="1" applyFill="1" applyAlignment="1" applyProtection="1">
      <alignment horizontal="left" vertical="center" wrapText="1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5" fontId="25" fillId="0" borderId="0" xfId="0" applyNumberFormat="1" applyFont="1" applyFill="1" applyBorder="1" applyAlignment="1" applyProtection="1">
      <alignment horizontal="center" vertical="center"/>
    </xf>
    <xf numFmtId="165" fontId="25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27</xdr:row>
      <xdr:rowOff>4233</xdr:rowOff>
    </xdr:from>
    <xdr:to>
      <xdr:col>5</xdr:col>
      <xdr:colOff>956733</xdr:colOff>
      <xdr:row>29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=""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41"/>
  <sheetViews>
    <sheetView view="pageBreakPreview" topLeftCell="B10" zoomScale="98" zoomScaleNormal="100" zoomScaleSheetLayoutView="98" workbookViewId="0">
      <selection activeCell="G21" sqref="G21"/>
    </sheetView>
  </sheetViews>
  <sheetFormatPr baseColWidth="10" defaultColWidth="16.28515625" defaultRowHeight="12.75"/>
  <cols>
    <col min="1" max="1" width="16.28515625" customWidth="1"/>
    <col min="2" max="2" width="8.28515625" customWidth="1"/>
    <col min="3" max="3" width="6.5703125" customWidth="1"/>
    <col min="4" max="4" width="30.5703125" customWidth="1"/>
    <col min="5" max="5" width="26" customWidth="1"/>
    <col min="6" max="6" width="19.7109375" customWidth="1"/>
    <col min="7" max="7" width="22.28515625" customWidth="1"/>
  </cols>
  <sheetData>
    <row r="1" spans="2:10" s="436" customFormat="1"/>
    <row r="2" spans="2:10" s="436" customFormat="1"/>
    <row r="3" spans="2:10" s="436" customFormat="1" ht="21" thickBot="1">
      <c r="B3" s="452"/>
      <c r="C3" s="453"/>
      <c r="D3" s="453"/>
      <c r="E3" s="453"/>
      <c r="F3" s="453"/>
      <c r="G3" s="453"/>
      <c r="H3" s="362"/>
      <c r="I3" s="362"/>
    </row>
    <row r="4" spans="2:10" ht="109.5" customHeight="1">
      <c r="B4" s="438" t="s">
        <v>652</v>
      </c>
      <c r="C4" s="439"/>
      <c r="D4" s="439"/>
      <c r="E4" s="439"/>
      <c r="F4" s="439"/>
      <c r="G4" s="440"/>
      <c r="H4" s="364"/>
      <c r="I4" s="365"/>
    </row>
    <row r="5" spans="2:10">
      <c r="B5" s="366"/>
      <c r="C5" s="367"/>
      <c r="D5" s="367"/>
      <c r="E5" s="367"/>
      <c r="F5" s="367"/>
      <c r="G5" s="368"/>
      <c r="H5" s="362"/>
      <c r="I5" s="363"/>
    </row>
    <row r="6" spans="2:10" ht="15.75">
      <c r="B6" s="366"/>
      <c r="C6" s="369" t="s">
        <v>653</v>
      </c>
      <c r="D6" s="370"/>
      <c r="E6" s="370"/>
      <c r="F6" s="367"/>
      <c r="G6" s="371"/>
      <c r="H6" s="362"/>
    </row>
    <row r="7" spans="2:10" ht="18.75">
      <c r="B7" s="366"/>
      <c r="C7" s="372" t="s">
        <v>372</v>
      </c>
      <c r="D7" s="373"/>
      <c r="E7" s="370"/>
      <c r="F7" s="367"/>
      <c r="G7" s="368"/>
      <c r="H7" s="362"/>
      <c r="I7" s="363"/>
    </row>
    <row r="8" spans="2:10">
      <c r="B8" s="366"/>
      <c r="C8" s="374"/>
      <c r="D8" s="374"/>
      <c r="E8" s="375" t="s">
        <v>1</v>
      </c>
      <c r="F8" s="376"/>
      <c r="G8" s="377" t="s">
        <v>373</v>
      </c>
      <c r="H8" s="362"/>
      <c r="I8" s="378"/>
    </row>
    <row r="9" spans="2:10" ht="15.75">
      <c r="B9" s="366"/>
      <c r="C9" s="379" t="s">
        <v>374</v>
      </c>
      <c r="D9" s="375"/>
      <c r="E9" s="375"/>
      <c r="F9" s="380"/>
      <c r="G9" s="381">
        <v>253517.4</v>
      </c>
      <c r="H9" s="362">
        <v>410275.22</v>
      </c>
      <c r="I9" s="382"/>
    </row>
    <row r="10" spans="2:10">
      <c r="B10" s="366"/>
      <c r="C10" s="367"/>
      <c r="D10" s="367"/>
      <c r="E10" s="367"/>
      <c r="F10" s="367"/>
      <c r="G10" s="368"/>
      <c r="I10" s="383"/>
    </row>
    <row r="11" spans="2:10" ht="23.25">
      <c r="B11" s="366"/>
      <c r="C11" s="441" t="s">
        <v>375</v>
      </c>
      <c r="D11" s="441"/>
      <c r="E11" s="441"/>
      <c r="F11" s="441"/>
      <c r="G11" s="442"/>
      <c r="H11" s="384"/>
      <c r="I11" s="385"/>
    </row>
    <row r="12" spans="2:10" ht="15.75">
      <c r="B12" s="366"/>
      <c r="C12" s="380"/>
      <c r="D12" s="386" t="s">
        <v>53</v>
      </c>
      <c r="E12" s="380"/>
      <c r="F12" s="380"/>
      <c r="G12" s="387" t="s">
        <v>49</v>
      </c>
      <c r="H12" s="388"/>
      <c r="I12" s="385"/>
    </row>
    <row r="13" spans="2:10" ht="14.25">
      <c r="B13" s="366"/>
      <c r="C13" s="389"/>
      <c r="D13" s="390"/>
      <c r="E13" s="390"/>
      <c r="F13" s="391"/>
      <c r="G13" s="392"/>
      <c r="H13" s="393"/>
      <c r="I13" s="385"/>
    </row>
    <row r="14" spans="2:10">
      <c r="B14" s="366"/>
      <c r="C14" s="394" t="s">
        <v>376</v>
      </c>
      <c r="D14" s="379" t="s">
        <v>366</v>
      </c>
      <c r="E14" s="395"/>
      <c r="F14" s="391"/>
      <c r="G14" s="396">
        <f>G9</f>
        <v>253517.4</v>
      </c>
      <c r="H14" s="393"/>
      <c r="I14" s="397"/>
    </row>
    <row r="15" spans="2:10">
      <c r="B15" s="366"/>
      <c r="C15" s="398" t="s">
        <v>377</v>
      </c>
      <c r="D15" s="399" t="s">
        <v>10</v>
      </c>
      <c r="E15" s="400"/>
      <c r="F15" s="401"/>
      <c r="G15" s="402">
        <f>G14</f>
        <v>253517.4</v>
      </c>
      <c r="H15" s="403"/>
      <c r="I15" s="404"/>
      <c r="J15" s="405"/>
    </row>
    <row r="16" spans="2:10">
      <c r="B16" s="366"/>
      <c r="C16" s="398" t="s">
        <v>378</v>
      </c>
      <c r="D16" s="399" t="s">
        <v>43</v>
      </c>
      <c r="E16" s="400">
        <f>ROUND(J18,4)</f>
        <v>0.24859999999999999</v>
      </c>
      <c r="F16" s="401"/>
      <c r="G16" s="402">
        <f>G.General!G19</f>
        <v>63017.783333333326</v>
      </c>
      <c r="H16" s="403"/>
      <c r="I16" s="404"/>
      <c r="J16" s="405"/>
    </row>
    <row r="17" spans="2:10">
      <c r="B17" s="366"/>
      <c r="C17" s="376" t="s">
        <v>379</v>
      </c>
      <c r="D17" s="406" t="s">
        <v>4</v>
      </c>
      <c r="E17" s="407"/>
      <c r="F17" s="391"/>
      <c r="G17" s="396">
        <f>SUM(G15:G16)</f>
        <v>316535.18333333335</v>
      </c>
      <c r="H17" s="403"/>
      <c r="I17" s="408"/>
    </row>
    <row r="18" spans="2:10" ht="15.75">
      <c r="B18" s="366"/>
      <c r="C18" s="367"/>
      <c r="D18" s="409"/>
      <c r="E18" s="409"/>
      <c r="F18" s="410"/>
      <c r="G18" s="411"/>
      <c r="H18" s="362"/>
      <c r="I18" s="412"/>
      <c r="J18">
        <f>G16/G15</f>
        <v>0.24857379940522159</v>
      </c>
    </row>
    <row r="19" spans="2:10" ht="15.75">
      <c r="B19" s="366"/>
      <c r="C19" s="413"/>
      <c r="D19" s="414" t="s">
        <v>651</v>
      </c>
      <c r="E19" s="414"/>
      <c r="F19" s="415"/>
      <c r="G19" s="416">
        <f>G17</f>
        <v>316535.18333333335</v>
      </c>
      <c r="H19" s="362"/>
    </row>
    <row r="20" spans="2:10">
      <c r="B20" s="366"/>
      <c r="C20" s="367"/>
      <c r="D20" s="367"/>
      <c r="E20" s="367"/>
      <c r="F20" s="367"/>
      <c r="G20" s="417" t="s">
        <v>1</v>
      </c>
      <c r="H20" s="362"/>
      <c r="I20" s="363"/>
    </row>
    <row r="21" spans="2:10" ht="13.5" thickBot="1">
      <c r="B21" s="366"/>
      <c r="C21" s="367"/>
      <c r="D21" s="399" t="s">
        <v>380</v>
      </c>
      <c r="E21" s="400">
        <f>ROUND(J21,4)</f>
        <v>7.8899999999999998E-2</v>
      </c>
      <c r="F21" s="367"/>
      <c r="G21" s="418">
        <f>Supervision!G158</f>
        <v>24961.5</v>
      </c>
      <c r="H21" s="362"/>
      <c r="I21" s="363"/>
      <c r="J21" s="435">
        <f>G21/G19</f>
        <v>7.8858532366412562E-2</v>
      </c>
    </row>
    <row r="22" spans="2:10" ht="6" customHeight="1" thickTop="1">
      <c r="B22" s="366"/>
      <c r="C22" s="367"/>
      <c r="D22" s="367"/>
      <c r="E22" s="367"/>
      <c r="F22" s="367"/>
      <c r="G22" s="417"/>
      <c r="H22" s="362"/>
      <c r="I22" s="363"/>
    </row>
    <row r="23" spans="2:10" ht="15.75">
      <c r="B23" s="366"/>
      <c r="C23" s="413"/>
      <c r="D23" s="419" t="s">
        <v>650</v>
      </c>
      <c r="E23" s="419"/>
      <c r="F23" s="420"/>
      <c r="G23" s="421">
        <f>G19+G21+0.005</f>
        <v>341496.68833333335</v>
      </c>
      <c r="H23" s="362"/>
    </row>
    <row r="24" spans="2:10">
      <c r="B24" s="366"/>
      <c r="C24" s="367"/>
      <c r="D24" s="367"/>
      <c r="E24" s="367"/>
      <c r="F24" s="367"/>
      <c r="G24" s="417" t="s">
        <v>1</v>
      </c>
      <c r="H24" s="362"/>
      <c r="I24" s="363"/>
    </row>
    <row r="25" spans="2:10">
      <c r="B25" s="366"/>
      <c r="C25" s="367"/>
      <c r="D25" s="399" t="s">
        <v>367</v>
      </c>
      <c r="E25" s="400">
        <f>G25/G23</f>
        <v>2.9282860834770514E-2</v>
      </c>
      <c r="F25" s="367"/>
      <c r="G25" s="402">
        <v>10000</v>
      </c>
      <c r="H25" s="362"/>
      <c r="I25" s="363"/>
      <c r="J25" s="405"/>
    </row>
    <row r="26" spans="2:10">
      <c r="B26" s="366"/>
      <c r="C26" s="367"/>
      <c r="D26" s="399" t="s">
        <v>588</v>
      </c>
      <c r="E26" s="400">
        <f>G26/G23</f>
        <v>4.528319169205413E-2</v>
      </c>
      <c r="F26" s="367"/>
      <c r="G26" s="402">
        <f>Gestión!G19</f>
        <v>15464.06</v>
      </c>
      <c r="H26" s="362"/>
      <c r="I26" s="363"/>
      <c r="J26" s="405"/>
    </row>
    <row r="27" spans="2:10" ht="13.5" thickBot="1">
      <c r="B27" s="366"/>
      <c r="C27" s="367"/>
      <c r="D27" s="399" t="s">
        <v>138</v>
      </c>
      <c r="E27" s="400">
        <f>G27/G23</f>
        <v>5.0632262597880826E-2</v>
      </c>
      <c r="F27" s="367"/>
      <c r="G27" s="434">
        <f>Liquidacion!G19</f>
        <v>17290.75</v>
      </c>
      <c r="H27" s="362"/>
      <c r="I27" s="363"/>
      <c r="J27" s="405"/>
    </row>
    <row r="28" spans="2:10">
      <c r="B28" s="366"/>
      <c r="C28" s="367"/>
      <c r="D28" s="367"/>
      <c r="E28" s="367"/>
      <c r="F28" s="367"/>
      <c r="G28" s="417"/>
      <c r="H28" s="362"/>
      <c r="I28" s="363"/>
    </row>
    <row r="29" spans="2:10" ht="18">
      <c r="B29" s="366"/>
      <c r="C29" s="413"/>
      <c r="D29" s="419" t="s">
        <v>381</v>
      </c>
      <c r="E29" s="419"/>
      <c r="F29" s="420"/>
      <c r="G29" s="422">
        <f>G25+G27+G26+G23</f>
        <v>384251.49833333335</v>
      </c>
      <c r="H29" s="362"/>
      <c r="J29" s="423"/>
    </row>
    <row r="30" spans="2:10" ht="12.75" customHeight="1" thickBot="1">
      <c r="B30" s="424"/>
      <c r="C30" s="425"/>
      <c r="D30" s="425"/>
      <c r="E30" s="425"/>
      <c r="F30" s="425"/>
      <c r="G30" s="426"/>
      <c r="H30" s="362"/>
      <c r="I30" s="363"/>
      <c r="J30" s="423"/>
    </row>
    <row r="31" spans="2:10" ht="12.75" customHeight="1">
      <c r="B31" s="443" t="str">
        <f>CONCATENATE("SON : ",letra(G29)," NUEVOS SOLES")</f>
        <v>SON : TRESCIENTOS OCHENTA Y CUATRO MIL DOSCIENTOS CINCUENTA Y UNO CON 50/100 NUEVOS SOLES</v>
      </c>
      <c r="C31" s="444"/>
      <c r="D31" s="444"/>
      <c r="E31" s="444"/>
      <c r="F31" s="444"/>
      <c r="G31" s="445"/>
      <c r="H31" s="362"/>
      <c r="I31" s="363"/>
    </row>
    <row r="32" spans="2:10" ht="12.75" customHeight="1">
      <c r="B32" s="446"/>
      <c r="C32" s="447"/>
      <c r="D32" s="447"/>
      <c r="E32" s="447"/>
      <c r="F32" s="447"/>
      <c r="G32" s="448"/>
      <c r="H32" s="362"/>
      <c r="I32" s="363"/>
    </row>
    <row r="33" spans="1:9" ht="13.5" customHeight="1" thickBot="1">
      <c r="B33" s="449"/>
      <c r="C33" s="450"/>
      <c r="D33" s="450"/>
      <c r="E33" s="450"/>
      <c r="F33" s="450"/>
      <c r="G33" s="451"/>
      <c r="H33" s="362"/>
      <c r="I33" s="363"/>
    </row>
    <row r="34" spans="1:9">
      <c r="B34" s="427"/>
      <c r="C34" s="427"/>
      <c r="D34" s="427"/>
      <c r="E34" s="427"/>
      <c r="F34" s="427"/>
      <c r="G34" s="427"/>
      <c r="H34" s="362"/>
      <c r="I34" s="363"/>
    </row>
    <row r="35" spans="1:9">
      <c r="A35" s="363"/>
      <c r="B35" s="427"/>
      <c r="C35" s="428"/>
      <c r="D35" s="427"/>
      <c r="E35" s="427"/>
      <c r="F35" s="427"/>
      <c r="G35" s="427"/>
    </row>
    <row r="36" spans="1:9">
      <c r="B36" s="427"/>
      <c r="C36" s="428"/>
      <c r="D36" s="427"/>
      <c r="E36" s="427"/>
      <c r="F36" s="427"/>
      <c r="G36" s="427"/>
    </row>
    <row r="37" spans="1:9">
      <c r="C37" s="428"/>
    </row>
    <row r="38" spans="1:9">
      <c r="C38" s="428"/>
      <c r="D38" s="362"/>
    </row>
    <row r="39" spans="1:9">
      <c r="D39" s="362"/>
    </row>
    <row r="41" spans="1:9">
      <c r="G41" s="405"/>
    </row>
  </sheetData>
  <mergeCells count="4">
    <mergeCell ref="B4:G4"/>
    <mergeCell ref="C11:G11"/>
    <mergeCell ref="B31:G33"/>
    <mergeCell ref="B3:G3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703125" defaultRowHeight="12.75"/>
  <cols>
    <col min="1" max="1" width="12.85546875" style="17" customWidth="1"/>
    <col min="2" max="2" width="60.7109375" style="17" customWidth="1"/>
    <col min="3" max="3" width="17.5703125" style="17" customWidth="1"/>
    <col min="4" max="4" width="14.5703125" style="17" customWidth="1"/>
    <col min="5" max="5" width="18.28515625" style="17" customWidth="1"/>
    <col min="6" max="6" width="26.140625" style="17" hidden="1" customWidth="1"/>
    <col min="7" max="7" width="18" style="17" customWidth="1"/>
    <col min="8" max="8" width="17.7109375" style="17" customWidth="1"/>
    <col min="9" max="9" width="14.5703125" style="17" customWidth="1"/>
    <col min="10" max="10" width="14.5703125" style="17" hidden="1" customWidth="1"/>
    <col min="11" max="11" width="16.42578125" style="17" customWidth="1"/>
    <col min="12" max="16384" width="12.5703125" style="17"/>
  </cols>
  <sheetData>
    <row r="1" spans="1:11" ht="20.25" customHeight="1"/>
    <row r="2" spans="1:11" ht="20.25" customHeight="1"/>
    <row r="3" spans="1:11" ht="11.25" customHeight="1">
      <c r="A3" s="454" t="s">
        <v>1</v>
      </c>
      <c r="B3" s="455"/>
      <c r="C3" s="455"/>
      <c r="D3" s="455"/>
      <c r="E3" s="455"/>
      <c r="F3" s="455"/>
      <c r="G3" s="455"/>
      <c r="H3" s="455"/>
      <c r="I3" s="455"/>
      <c r="J3" s="455"/>
      <c r="K3" s="456"/>
    </row>
    <row r="4" spans="1:11" s="18" customFormat="1" ht="27" customHeight="1">
      <c r="A4" s="457" t="s">
        <v>125</v>
      </c>
      <c r="B4" s="458"/>
      <c r="C4" s="458"/>
      <c r="D4" s="458"/>
      <c r="E4" s="458"/>
      <c r="F4" s="458"/>
      <c r="G4" s="458"/>
      <c r="H4" s="458"/>
      <c r="I4" s="458"/>
      <c r="J4" s="458"/>
      <c r="K4" s="459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5" t="s">
        <v>325</v>
      </c>
      <c r="B7" s="465"/>
      <c r="C7" s="465"/>
      <c r="D7" s="465"/>
      <c r="E7" s="465"/>
      <c r="F7" s="465"/>
      <c r="G7" s="465"/>
      <c r="H7" s="465"/>
      <c r="I7" s="465"/>
      <c r="J7" s="465"/>
      <c r="K7" s="465"/>
    </row>
    <row r="8" spans="1:11" s="18" customFormat="1" ht="42" customHeight="1">
      <c r="A8" s="466" t="s">
        <v>648</v>
      </c>
      <c r="B8" s="466"/>
      <c r="C8" s="466"/>
      <c r="D8" s="466"/>
      <c r="E8" s="466"/>
      <c r="F8" s="466"/>
      <c r="G8" s="466"/>
      <c r="H8" s="466"/>
      <c r="I8" s="466"/>
      <c r="J8" s="466"/>
      <c r="K8" s="466"/>
    </row>
    <row r="9" spans="1:11" s="22" customFormat="1" ht="15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5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5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5">
      <c r="A12" s="19"/>
      <c r="B12" s="20" t="s">
        <v>67</v>
      </c>
      <c r="C12" s="437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4" t="str">
        <f>+A8</f>
        <v>“OPTIMIZACIÓN  DE COBERTURA METALICA Y TRIBUNA DE LA IE No. 550006 BELEN DE OSMA Y PARDO, PROVINCIA DE ANDAHUAYLAS-REGION APURIMAC"</v>
      </c>
      <c r="D13" s="464"/>
      <c r="E13" s="464"/>
      <c r="F13" s="464"/>
      <c r="G13" s="464"/>
      <c r="H13" s="464"/>
      <c r="I13" s="464"/>
      <c r="J13" s="464"/>
      <c r="K13" s="464"/>
    </row>
    <row r="14" spans="1:11" s="22" customFormat="1" ht="15.75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45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+'C.Directo'!G16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+'C.Directo'!G17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+'C.Directo'!G18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+'C.Directo'!G19</f>
        <v>0</v>
      </c>
      <c r="D19" s="171">
        <f>+G.General!G18</f>
        <v>0</v>
      </c>
      <c r="E19" s="171" t="e">
        <f>+RESUMEN!#REF!+RESUMEN!#REF!+RESUMEN!#REF!+RESUMEN!G25+RESUMEN!G26+RESUMEN!G27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.75" thickBot="1">
      <c r="A21" s="460" t="s">
        <v>3</v>
      </c>
      <c r="B21" s="461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.75" hidden="1" thickBot="1">
      <c r="A22" s="462" t="s">
        <v>84</v>
      </c>
      <c r="B22" s="463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4.25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4.25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2578125" defaultRowHeight="12.75"/>
  <cols>
    <col min="1" max="1" width="3.7109375" style="25" customWidth="1"/>
    <col min="2" max="2" width="50.7109375" style="25" customWidth="1"/>
    <col min="3" max="3" width="17" style="179" customWidth="1"/>
    <col min="4" max="4" width="16.85546875" style="25" customWidth="1"/>
    <col min="5" max="5" width="15.7109375" style="25" customWidth="1"/>
    <col min="6" max="6" width="14.7109375" style="25" customWidth="1"/>
    <col min="7" max="7" width="16" style="25" customWidth="1"/>
    <col min="8" max="8" width="11.5703125" style="25" customWidth="1"/>
    <col min="9" max="16384" width="11.425781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70" t="s">
        <v>70</v>
      </c>
      <c r="B3" s="470"/>
      <c r="C3" s="470"/>
      <c r="D3" s="470"/>
      <c r="E3" s="470"/>
      <c r="F3" s="470"/>
      <c r="G3" s="470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4" t="str">
        <f>+'R'!C13</f>
        <v>“OPTIMIZACIÓN  DE COBERTURA METALICA Y TRIBUNA DE LA IE No. 550006 BELEN DE OSMA Y PARDO, PROVINCIA DE ANDAHUAYLAS-REGION APURIMAC"</v>
      </c>
      <c r="D11" s="464"/>
      <c r="E11" s="464"/>
      <c r="F11" s="464"/>
      <c r="G11" s="464"/>
      <c r="H11" s="179"/>
    </row>
    <row r="12" spans="1:8" ht="18" customHeight="1">
      <c r="A12" s="28"/>
      <c r="B12" s="296"/>
      <c r="C12" s="464"/>
      <c r="D12" s="464"/>
      <c r="E12" s="464"/>
      <c r="F12" s="464"/>
      <c r="G12" s="464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9" t="s">
        <v>37</v>
      </c>
      <c r="D15" s="473"/>
      <c r="E15" s="473"/>
      <c r="F15" s="474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72" t="s">
        <v>73</v>
      </c>
      <c r="C20" s="473"/>
      <c r="D20" s="473"/>
      <c r="E20" s="473"/>
      <c r="F20" s="474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5" t="s">
        <v>42</v>
      </c>
      <c r="B26" s="471"/>
      <c r="C26" s="471"/>
      <c r="D26" s="471"/>
      <c r="E26" s="471"/>
      <c r="F26" s="471"/>
      <c r="G26" s="471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5" t="s">
        <v>10</v>
      </c>
      <c r="B28" s="465"/>
      <c r="C28" s="465"/>
      <c r="D28" s="465"/>
      <c r="E28" s="465"/>
      <c r="F28" s="465"/>
      <c r="G28" s="465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30" t="s">
        <v>307</v>
      </c>
      <c r="C38" s="61" t="s">
        <v>156</v>
      </c>
      <c r="D38" s="429">
        <v>64.400000000000006</v>
      </c>
      <c r="E38" s="429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30" t="s">
        <v>295</v>
      </c>
      <c r="C39" s="61" t="s">
        <v>156</v>
      </c>
      <c r="D39" s="429">
        <v>18235.745800000001</v>
      </c>
      <c r="E39" s="429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30" t="s">
        <v>135</v>
      </c>
      <c r="C40" s="61" t="s">
        <v>156</v>
      </c>
      <c r="D40" s="429">
        <v>7294.7867999999999</v>
      </c>
      <c r="E40" s="429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30" t="s">
        <v>136</v>
      </c>
      <c r="C41" s="61" t="s">
        <v>156</v>
      </c>
      <c r="D41" s="429">
        <v>25441.623100000001</v>
      </c>
      <c r="E41" s="429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67" t="s">
        <v>3</v>
      </c>
      <c r="C52" s="468"/>
      <c r="D52" s="468"/>
      <c r="E52" s="469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67" t="s">
        <v>3</v>
      </c>
      <c r="C62" s="468"/>
      <c r="D62" s="468"/>
      <c r="E62" s="469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67" t="s">
        <v>3</v>
      </c>
      <c r="C76" s="468"/>
      <c r="D76" s="468"/>
      <c r="E76" s="469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67" t="s">
        <v>3</v>
      </c>
      <c r="C87" s="468"/>
      <c r="D87" s="468"/>
      <c r="E87" s="469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67" t="s">
        <v>3</v>
      </c>
      <c r="C99" s="468"/>
      <c r="D99" s="468"/>
      <c r="E99" s="469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67" t="s">
        <v>3</v>
      </c>
      <c r="C111" s="468"/>
      <c r="D111" s="468"/>
      <c r="E111" s="469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67" t="s">
        <v>3</v>
      </c>
      <c r="C121" s="468"/>
      <c r="D121" s="468"/>
      <c r="E121" s="469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67" t="s">
        <v>3</v>
      </c>
      <c r="C131" s="468"/>
      <c r="D131" s="468"/>
      <c r="E131" s="469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75" t="s">
        <v>3</v>
      </c>
      <c r="C140" s="476"/>
      <c r="D140" s="476"/>
      <c r="E140" s="477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75" t="s">
        <v>3</v>
      </c>
      <c r="C152" s="476"/>
      <c r="D152" s="476"/>
      <c r="E152" s="477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75" t="s">
        <v>3</v>
      </c>
      <c r="C434" s="476"/>
      <c r="D434" s="476"/>
      <c r="E434" s="477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75" t="s">
        <v>3</v>
      </c>
      <c r="C459" s="476"/>
      <c r="D459" s="476"/>
      <c r="E459" s="477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75" t="s">
        <v>3</v>
      </c>
      <c r="C467" s="476"/>
      <c r="D467" s="476"/>
      <c r="E467" s="477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80" t="s">
        <v>73</v>
      </c>
      <c r="B471" s="480"/>
      <c r="C471" s="480"/>
      <c r="D471" s="480"/>
      <c r="E471" s="480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80"/>
      <c r="C475" s="481"/>
      <c r="D475" s="481"/>
      <c r="E475" s="481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80"/>
      <c r="B479" s="480"/>
      <c r="C479" s="480"/>
      <c r="D479" s="480"/>
      <c r="E479" s="480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78"/>
      <c r="B486" s="478"/>
      <c r="C486" s="478"/>
      <c r="D486" s="478"/>
      <c r="E486" s="478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  <mergeCell ref="B76:E76"/>
    <mergeCell ref="A3:G3"/>
    <mergeCell ref="B87:E87"/>
    <mergeCell ref="A26:G26"/>
    <mergeCell ref="B131:E131"/>
    <mergeCell ref="B121:E121"/>
    <mergeCell ref="B20:F20"/>
  </mergeCells>
  <phoneticPr fontId="0" type="noConversion"/>
  <conditionalFormatting sqref="C13:G13 C11">
    <cfRule type="aboveAverage" dxfId="3" priority="2" stopIfTrue="1" aboveAverage="0"/>
  </conditionalFormatting>
  <conditionalFormatting sqref="C11">
    <cfRule type="aboveAverage" dxfId="2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view="pageBreakPreview" topLeftCell="A130" zoomScale="90" zoomScaleNormal="85" zoomScaleSheetLayoutView="90" zoomScalePageLayoutView="75" workbookViewId="0">
      <selection activeCell="B46" sqref="B46:E46"/>
    </sheetView>
  </sheetViews>
  <sheetFormatPr baseColWidth="10" defaultColWidth="11.42578125" defaultRowHeight="12.75"/>
  <cols>
    <col min="1" max="1" width="6" style="67" customWidth="1"/>
    <col min="2" max="2" width="46.28515625" style="70" customWidth="1"/>
    <col min="3" max="3" width="15.140625" style="70" customWidth="1"/>
    <col min="4" max="4" width="13.85546875" style="73" customWidth="1"/>
    <col min="5" max="5" width="12.5703125" style="73" customWidth="1"/>
    <col min="6" max="6" width="20.85546875" style="70" customWidth="1"/>
    <col min="7" max="7" width="16" style="70" customWidth="1"/>
    <col min="8" max="8" width="5.140625" style="63" customWidth="1"/>
    <col min="9" max="16384" width="11.42578125" style="63"/>
  </cols>
  <sheetData>
    <row r="1" spans="1:7" ht="21" customHeight="1"/>
    <row r="2" spans="1:7" ht="21" customHeight="1"/>
    <row r="3" spans="1:7" ht="27" customHeight="1">
      <c r="A3" s="492" t="s">
        <v>68</v>
      </c>
      <c r="B3" s="492"/>
      <c r="C3" s="492"/>
      <c r="D3" s="492"/>
      <c r="E3" s="492"/>
      <c r="F3" s="492"/>
      <c r="G3" s="492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93" t="s">
        <v>654</v>
      </c>
      <c r="D10" s="464"/>
      <c r="E10" s="464"/>
      <c r="F10" s="464"/>
      <c r="G10" s="464"/>
    </row>
    <row r="11" spans="1:7" ht="18" customHeight="1">
      <c r="B11" s="29"/>
      <c r="C11" s="464"/>
      <c r="D11" s="464"/>
      <c r="E11" s="464"/>
      <c r="F11" s="464"/>
      <c r="G11" s="464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94" t="s">
        <v>37</v>
      </c>
      <c r="D14" s="494"/>
      <c r="E14" s="494"/>
      <c r="F14" s="494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95" t="s">
        <v>41</v>
      </c>
      <c r="C19" s="496"/>
      <c r="D19" s="496"/>
      <c r="E19" s="496"/>
      <c r="F19" s="496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90" t="s">
        <v>42</v>
      </c>
      <c r="B24" s="491"/>
      <c r="C24" s="491"/>
      <c r="D24" s="491"/>
      <c r="E24" s="491"/>
      <c r="F24" s="491"/>
      <c r="G24" s="491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90" t="s">
        <v>43</v>
      </c>
      <c r="B26" s="490"/>
      <c r="C26" s="490"/>
      <c r="D26" s="490"/>
      <c r="E26" s="490"/>
      <c r="F26" s="490"/>
      <c r="G26" s="490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75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75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97" t="s">
        <v>3</v>
      </c>
      <c r="C46" s="497"/>
      <c r="D46" s="497"/>
      <c r="E46" s="497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75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84" t="s">
        <v>3</v>
      </c>
      <c r="C66" s="485"/>
      <c r="D66" s="485"/>
      <c r="E66" s="486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87" t="s">
        <v>3</v>
      </c>
      <c r="C82" s="488"/>
      <c r="D82" s="488"/>
      <c r="E82" s="489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87" t="s">
        <v>3</v>
      </c>
      <c r="C101" s="488"/>
      <c r="D101" s="488"/>
      <c r="E101" s="489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87" t="s">
        <v>3</v>
      </c>
      <c r="C117" s="488"/>
      <c r="D117" s="488"/>
      <c r="E117" s="489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87" t="s">
        <v>3</v>
      </c>
      <c r="C135" s="488"/>
      <c r="D135" s="488"/>
      <c r="E135" s="489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75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75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83" t="s">
        <v>3</v>
      </c>
      <c r="C146" s="483"/>
      <c r="D146" s="483"/>
      <c r="E146" s="483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83" t="s">
        <v>3</v>
      </c>
      <c r="C184" s="483"/>
      <c r="D184" s="483"/>
      <c r="E184" s="483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75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75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75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83" t="s">
        <v>3</v>
      </c>
      <c r="C194" s="483"/>
      <c r="D194" s="483"/>
      <c r="E194" s="483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83" t="s">
        <v>3</v>
      </c>
      <c r="C201" s="483"/>
      <c r="D201" s="483"/>
      <c r="E201" s="483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82" t="s">
        <v>41</v>
      </c>
      <c r="B204" s="482"/>
      <c r="C204" s="482"/>
      <c r="D204" s="482"/>
      <c r="E204" s="482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6:G26"/>
    <mergeCell ref="A24:G24"/>
    <mergeCell ref="A3:G3"/>
    <mergeCell ref="C10:G11"/>
    <mergeCell ref="B201:E201"/>
    <mergeCell ref="C14:F14"/>
    <mergeCell ref="B19:F19"/>
    <mergeCell ref="B46:E46"/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</mergeCells>
  <phoneticPr fontId="0" type="noConversion"/>
  <conditionalFormatting sqref="C12:G12">
    <cfRule type="aboveAverage" dxfId="1" priority="4" stopIfTrue="1" aboveAverage="0"/>
  </conditionalFormatting>
  <conditionalFormatting sqref="C10">
    <cfRule type="aboveAverage" dxfId="0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horizontalDpi="300" verticalDpi="300" r:id="rId1"/>
  <headerFooter alignWithMargins="0"/>
  <rowBreaks count="2" manualBreakCount="2">
    <brk id="67" max="6" man="1"/>
    <brk id="149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2578125" defaultRowHeight="12.75"/>
  <cols>
    <col min="1" max="1" width="10.5703125" style="182" customWidth="1"/>
    <col min="2" max="2" width="41.42578125" style="182" customWidth="1"/>
    <col min="3" max="3" width="17.7109375" style="182" customWidth="1"/>
    <col min="4" max="4" width="16.5703125" style="182" customWidth="1"/>
    <col min="5" max="5" width="17.5703125" style="182" customWidth="1"/>
    <col min="6" max="6" width="14.7109375" style="182" customWidth="1"/>
    <col min="7" max="7" width="18.5703125" style="182" customWidth="1"/>
    <col min="8" max="8" width="5.5703125" style="182" customWidth="1"/>
    <col min="9" max="16384" width="11.42578125" style="182"/>
  </cols>
  <sheetData>
    <row r="1" spans="1:7" ht="20.25">
      <c r="A1" s="498" t="s">
        <v>280</v>
      </c>
      <c r="B1" s="498"/>
      <c r="C1" s="498"/>
      <c r="D1" s="498"/>
      <c r="E1" s="498"/>
      <c r="F1" s="498"/>
      <c r="G1" s="498"/>
    </row>
    <row r="2" spans="1:7">
      <c r="A2" s="65"/>
      <c r="B2" s="65"/>
      <c r="C2" s="65"/>
      <c r="D2" s="65"/>
      <c r="E2" s="66"/>
      <c r="F2" s="65"/>
      <c r="G2" s="65"/>
    </row>
    <row r="3" spans="1:7" ht="15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5">
      <c r="A9" s="70"/>
      <c r="B9" s="29" t="s">
        <v>111</v>
      </c>
      <c r="C9" s="499" t="str">
        <f>'R'!C13</f>
        <v>“OPTIMIZACIÓN  DE COBERTURA METALICA Y TRIBUNA DE LA IE No. 550006 BELEN DE OSMA Y PARDO, PROVINCIA DE ANDAHUAYLAS-REGION APURIMAC"</v>
      </c>
      <c r="D9" s="499"/>
      <c r="E9" s="499"/>
      <c r="F9" s="499"/>
      <c r="G9" s="499"/>
    </row>
    <row r="10" spans="1:7" ht="15">
      <c r="A10" s="70"/>
      <c r="B10" s="29"/>
      <c r="C10" s="499"/>
      <c r="D10" s="499"/>
      <c r="E10" s="499"/>
      <c r="F10" s="499"/>
      <c r="G10" s="499"/>
    </row>
    <row r="11" spans="1:7" ht="15">
      <c r="A11" s="70"/>
      <c r="B11" s="29"/>
      <c r="C11" s="30"/>
      <c r="D11" s="65"/>
      <c r="E11" s="73"/>
      <c r="F11" s="70"/>
      <c r="G11" s="70"/>
    </row>
    <row r="12" spans="1:7" ht="15.75" thickBot="1">
      <c r="A12" s="70"/>
      <c r="B12" s="29"/>
      <c r="C12" s="30"/>
      <c r="D12" s="65"/>
      <c r="E12" s="73"/>
      <c r="F12" s="70"/>
      <c r="G12" s="70"/>
    </row>
    <row r="13" spans="1:7" ht="13.5" thickBot="1">
      <c r="A13" s="183"/>
      <c r="B13" s="224" t="s">
        <v>36</v>
      </c>
      <c r="C13" s="494" t="s">
        <v>37</v>
      </c>
      <c r="D13" s="494"/>
      <c r="E13" s="494"/>
      <c r="F13" s="494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5" thickBot="1">
      <c r="A19" s="183"/>
      <c r="B19" s="495" t="s">
        <v>282</v>
      </c>
      <c r="C19" s="496"/>
      <c r="D19" s="496"/>
      <c r="E19" s="496"/>
      <c r="F19" s="496"/>
      <c r="G19" s="203">
        <f>SUM(G14:G18)</f>
        <v>0</v>
      </c>
      <c r="J19" s="17"/>
      <c r="K19" s="184"/>
    </row>
    <row r="20" spans="1:11" ht="15.75">
      <c r="A20" s="70"/>
      <c r="B20" s="75"/>
      <c r="C20" s="75"/>
      <c r="D20" s="75"/>
      <c r="E20" s="75"/>
      <c r="F20" s="88"/>
      <c r="G20" s="65"/>
    </row>
    <row r="21" spans="1:11" ht="15.75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0.25">
      <c r="A23" s="490" t="s">
        <v>42</v>
      </c>
      <c r="B23" s="491"/>
      <c r="C23" s="491"/>
      <c r="D23" s="491"/>
      <c r="E23" s="491"/>
      <c r="F23" s="491"/>
      <c r="G23" s="491"/>
    </row>
    <row r="24" spans="1:11" ht="20.25">
      <c r="A24" s="230"/>
      <c r="B24" s="231"/>
      <c r="C24" s="232"/>
      <c r="D24" s="231"/>
      <c r="E24" s="233"/>
      <c r="F24" s="231"/>
      <c r="G24" s="231"/>
    </row>
    <row r="25" spans="1:11" ht="20.25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75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75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75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75">
      <c r="A33" s="127"/>
      <c r="B33" s="154"/>
      <c r="C33" s="146"/>
      <c r="D33" s="146"/>
      <c r="E33" s="145"/>
      <c r="F33" s="129"/>
      <c r="G33" s="130"/>
    </row>
    <row r="34" spans="1:9" ht="15.75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75">
      <c r="A35" s="127"/>
      <c r="B35" s="92"/>
      <c r="C35" s="85"/>
      <c r="D35" s="85"/>
      <c r="E35" s="86"/>
      <c r="F35" s="85"/>
      <c r="G35" s="130"/>
    </row>
    <row r="36" spans="1:9" ht="15.75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75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75">
      <c r="A38" s="127"/>
      <c r="B38" s="487" t="s">
        <v>3</v>
      </c>
      <c r="C38" s="488"/>
      <c r="D38" s="488"/>
      <c r="E38" s="489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75">
      <c r="A41" s="501" t="s">
        <v>281</v>
      </c>
      <c r="B41" s="501"/>
      <c r="C41" s="501"/>
      <c r="D41" s="501"/>
      <c r="E41" s="501"/>
      <c r="F41" s="87" t="s">
        <v>0</v>
      </c>
      <c r="G41" s="164">
        <f>++G29</f>
        <v>0</v>
      </c>
    </row>
    <row r="43" spans="1:9" ht="20.25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75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75">
      <c r="A46" s="226"/>
      <c r="B46" s="223"/>
      <c r="C46" s="212"/>
      <c r="D46" s="212"/>
      <c r="E46" s="213"/>
      <c r="F46" s="213"/>
      <c r="G46" s="214"/>
    </row>
    <row r="47" spans="1:9" ht="15.75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97" t="s">
        <v>3</v>
      </c>
      <c r="C56" s="497"/>
      <c r="D56" s="497"/>
      <c r="E56" s="497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75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502" t="s">
        <v>3</v>
      </c>
      <c r="C68" s="502"/>
      <c r="D68" s="502"/>
      <c r="E68" s="502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83" t="s">
        <v>3</v>
      </c>
      <c r="C78" s="483"/>
      <c r="D78" s="483"/>
      <c r="E78" s="483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75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500" t="s">
        <v>3</v>
      </c>
      <c r="C89" s="500"/>
      <c r="D89" s="500"/>
      <c r="E89" s="500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500" t="s">
        <v>3</v>
      </c>
      <c r="C98" s="500"/>
      <c r="D98" s="500"/>
      <c r="E98" s="500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75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75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97" t="s">
        <v>3</v>
      </c>
      <c r="C109" s="497"/>
      <c r="D109" s="497"/>
      <c r="E109" s="497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75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75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83" t="s">
        <v>3</v>
      </c>
      <c r="C118" s="483"/>
      <c r="D118" s="483"/>
      <c r="E118" s="483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75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83" t="s">
        <v>3</v>
      </c>
      <c r="C127" s="483"/>
      <c r="D127" s="483"/>
      <c r="E127" s="483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75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83" t="s">
        <v>3</v>
      </c>
      <c r="C154" s="483"/>
      <c r="D154" s="483"/>
      <c r="E154" s="483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75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87" t="s">
        <v>3</v>
      </c>
      <c r="C162" s="488"/>
      <c r="D162" s="488"/>
      <c r="E162" s="489"/>
      <c r="F162" s="98">
        <f>SUM(F159:F161)</f>
        <v>0</v>
      </c>
      <c r="G162" s="78"/>
    </row>
    <row r="163" spans="1:7" ht="15.75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75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75">
      <c r="A166" s="127"/>
      <c r="B166" s="154"/>
      <c r="C166" s="146"/>
      <c r="D166" s="146"/>
      <c r="E166" s="145"/>
      <c r="F166" s="129"/>
      <c r="G166" s="130"/>
    </row>
    <row r="167" spans="1:7" ht="15.75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75">
      <c r="A168" s="127"/>
      <c r="B168" s="154"/>
      <c r="C168" s="146"/>
      <c r="D168" s="146"/>
      <c r="E168" s="145"/>
      <c r="F168" s="129"/>
      <c r="G168" s="130"/>
    </row>
    <row r="169" spans="1:7" ht="15.75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75">
      <c r="A170" s="127"/>
      <c r="B170" s="92"/>
      <c r="C170" s="85"/>
      <c r="D170" s="85"/>
      <c r="E170" s="86"/>
      <c r="F170" s="85"/>
      <c r="G170" s="130"/>
    </row>
    <row r="171" spans="1:7" ht="15.75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75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75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75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75">
      <c r="A175" s="127"/>
      <c r="B175" s="487" t="s">
        <v>3</v>
      </c>
      <c r="C175" s="488"/>
      <c r="D175" s="488"/>
      <c r="E175" s="489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75">
      <c r="A178" s="501" t="s">
        <v>284</v>
      </c>
      <c r="B178" s="501"/>
      <c r="C178" s="501"/>
      <c r="D178" s="501"/>
      <c r="E178" s="501"/>
      <c r="F178" s="87" t="s">
        <v>0</v>
      </c>
      <c r="G178" s="164">
        <f>+G165+G111+G45</f>
        <v>0</v>
      </c>
    </row>
    <row r="180" spans="1:7" ht="18">
      <c r="B180" s="266" t="s">
        <v>282</v>
      </c>
      <c r="F180" s="87" t="s">
        <v>0</v>
      </c>
      <c r="G180" s="164">
        <f>+G19</f>
        <v>0</v>
      </c>
    </row>
  </sheetData>
  <mergeCells count="19"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  <mergeCell ref="A1:G1"/>
    <mergeCell ref="C9:G10"/>
    <mergeCell ref="C13:F13"/>
    <mergeCell ref="B19:F19"/>
    <mergeCell ref="A23:G23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topLeftCell="A148" zoomScale="85" zoomScaleNormal="70" zoomScaleSheetLayoutView="85" workbookViewId="0">
      <selection activeCell="E38" sqref="E38"/>
    </sheetView>
  </sheetViews>
  <sheetFormatPr baseColWidth="10" defaultColWidth="11.42578125" defaultRowHeight="12.75"/>
  <cols>
    <col min="1" max="1" width="8.7109375" style="70" customWidth="1"/>
    <col min="2" max="2" width="46.7109375" style="70" customWidth="1"/>
    <col min="3" max="3" width="18" style="70" customWidth="1"/>
    <col min="4" max="4" width="15.7109375" style="70" customWidth="1"/>
    <col min="5" max="5" width="11.140625" style="73" customWidth="1"/>
    <col min="6" max="6" width="16.42578125" style="70" customWidth="1"/>
    <col min="7" max="7" width="14.5703125" style="70" customWidth="1"/>
    <col min="8" max="8" width="11.42578125" style="63"/>
    <col min="9" max="9" width="14.140625" style="63" customWidth="1"/>
    <col min="10" max="16384" width="11.42578125" style="63"/>
  </cols>
  <sheetData>
    <row r="1" spans="1:7" ht="21" customHeight="1"/>
    <row r="2" spans="1:7" ht="21" customHeight="1"/>
    <row r="3" spans="1:7" ht="27" customHeight="1">
      <c r="A3" s="505" t="s">
        <v>586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99" t="s">
        <v>654</v>
      </c>
      <c r="D10" s="499"/>
      <c r="E10" s="499"/>
      <c r="F10" s="499"/>
      <c r="G10" s="499"/>
    </row>
    <row r="11" spans="1:7" ht="18" customHeight="1">
      <c r="B11" s="29"/>
      <c r="C11" s="499"/>
      <c r="D11" s="499"/>
      <c r="E11" s="499"/>
      <c r="F11" s="499"/>
      <c r="G11" s="499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94" t="s">
        <v>37</v>
      </c>
      <c r="D13" s="494"/>
      <c r="E13" s="494"/>
      <c r="F13" s="494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95" t="s">
        <v>76</v>
      </c>
      <c r="C18" s="496"/>
      <c r="D18" s="496"/>
      <c r="E18" s="496"/>
      <c r="F18" s="496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503" t="s">
        <v>42</v>
      </c>
      <c r="B23" s="504"/>
      <c r="C23" s="504"/>
      <c r="D23" s="504"/>
      <c r="E23" s="504"/>
      <c r="F23" s="504"/>
      <c r="G23" s="504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503" t="s">
        <v>69</v>
      </c>
      <c r="B25" s="503"/>
      <c r="C25" s="503"/>
      <c r="D25" s="503"/>
      <c r="E25" s="503"/>
      <c r="F25" s="503"/>
      <c r="G25" s="503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75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75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10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11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12"/>
    </row>
    <row r="40" spans="1:9" ht="12.75" customHeight="1">
      <c r="A40" s="67"/>
      <c r="B40" s="497" t="s">
        <v>3</v>
      </c>
      <c r="C40" s="497"/>
      <c r="D40" s="497"/>
      <c r="E40" s="497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502" t="s">
        <v>3</v>
      </c>
      <c r="C53" s="502"/>
      <c r="D53" s="502"/>
      <c r="E53" s="502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83" t="s">
        <v>3</v>
      </c>
      <c r="C63" s="483"/>
      <c r="D63" s="483"/>
      <c r="E63" s="483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6" t="s">
        <v>3</v>
      </c>
      <c r="C75" s="506"/>
      <c r="D75" s="506"/>
      <c r="E75" s="506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6" t="s">
        <v>3</v>
      </c>
      <c r="C85" s="506"/>
      <c r="D85" s="506"/>
      <c r="E85" s="506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7" t="s">
        <v>3</v>
      </c>
      <c r="C97" s="508"/>
      <c r="D97" s="508"/>
      <c r="E97" s="509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75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83" t="s">
        <v>3</v>
      </c>
      <c r="C106" s="483"/>
      <c r="D106" s="483"/>
      <c r="E106" s="483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83" t="s">
        <v>3</v>
      </c>
      <c r="C114" s="483"/>
      <c r="D114" s="483"/>
      <c r="E114" s="483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83" t="s">
        <v>3</v>
      </c>
      <c r="C138" s="483"/>
      <c r="D138" s="483"/>
      <c r="E138" s="483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83" t="s">
        <v>3</v>
      </c>
      <c r="C145" s="483"/>
      <c r="D145" s="483"/>
      <c r="E145" s="483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75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87" t="s">
        <v>3</v>
      </c>
      <c r="C156" s="488"/>
      <c r="D156" s="488"/>
      <c r="E156" s="489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75">
      <c r="A158" s="501" t="s">
        <v>76</v>
      </c>
      <c r="B158" s="501"/>
      <c r="C158" s="501"/>
      <c r="D158" s="501"/>
      <c r="E158" s="501"/>
      <c r="F158" s="87" t="s">
        <v>0</v>
      </c>
      <c r="G158" s="164">
        <f>+G18</f>
        <v>24961.5</v>
      </c>
    </row>
    <row r="161" spans="6:7" ht="15.75">
      <c r="G161" s="164"/>
    </row>
    <row r="162" spans="6:7" ht="15.75">
      <c r="G162" s="164"/>
    </row>
    <row r="163" spans="6:7" ht="15.75">
      <c r="G163" s="164"/>
    </row>
    <row r="164" spans="6:7" ht="15.75">
      <c r="G164" s="164"/>
    </row>
    <row r="165" spans="6:7" ht="15.75">
      <c r="G165" s="164"/>
    </row>
    <row r="166" spans="6:7" ht="15.75">
      <c r="F166" s="80"/>
      <c r="G166" s="164"/>
    </row>
    <row r="167" spans="6:7" ht="15.75">
      <c r="G167" s="164"/>
    </row>
    <row r="168" spans="6:7" ht="15.75">
      <c r="G168" s="164"/>
    </row>
  </sheetData>
  <mergeCells count="19"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  <mergeCell ref="A158:E158"/>
    <mergeCell ref="B106:E106"/>
    <mergeCell ref="B63:E63"/>
    <mergeCell ref="B53:E53"/>
    <mergeCell ref="A25:G25"/>
  </mergeCells>
  <phoneticPr fontId="0" type="noConversion"/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view="pageBreakPreview" topLeftCell="A115" zoomScale="82" zoomScaleNormal="100" zoomScaleSheetLayoutView="82" workbookViewId="0">
      <selection activeCell="C137" sqref="C137"/>
    </sheetView>
  </sheetViews>
  <sheetFormatPr baseColWidth="10" defaultColWidth="11.42578125" defaultRowHeight="12.75"/>
  <cols>
    <col min="1" max="1" width="7.5703125" style="70" customWidth="1"/>
    <col min="2" max="2" width="46" style="70" customWidth="1"/>
    <col min="3" max="3" width="20.5703125" style="70" customWidth="1"/>
    <col min="4" max="4" width="15.7109375" style="70" customWidth="1"/>
    <col min="5" max="5" width="11.140625" style="73" customWidth="1"/>
    <col min="6" max="6" width="14.7109375" style="70" customWidth="1"/>
    <col min="7" max="7" width="16.85546875" style="70" customWidth="1"/>
    <col min="8" max="16384" width="11.42578125" style="63"/>
  </cols>
  <sheetData>
    <row r="1" spans="1:7" ht="20.25" customHeight="1"/>
    <row r="2" spans="1:7" ht="20.25" customHeight="1"/>
    <row r="3" spans="1:7" ht="27" customHeight="1">
      <c r="A3" s="505" t="s">
        <v>143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99" t="s">
        <v>654</v>
      </c>
      <c r="D10" s="499"/>
      <c r="E10" s="499"/>
      <c r="F10" s="499"/>
      <c r="G10" s="499"/>
    </row>
    <row r="11" spans="1:7" ht="24" customHeight="1">
      <c r="B11" s="29"/>
      <c r="C11" s="499"/>
      <c r="D11" s="499"/>
      <c r="E11" s="499"/>
      <c r="F11" s="499"/>
      <c r="G11" s="49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94" t="s">
        <v>37</v>
      </c>
      <c r="D14" s="494"/>
      <c r="E14" s="494"/>
      <c r="F14" s="494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95" t="s">
        <v>157</v>
      </c>
      <c r="C19" s="496"/>
      <c r="D19" s="496"/>
      <c r="E19" s="496"/>
      <c r="F19" s="496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90" t="s">
        <v>42</v>
      </c>
      <c r="B27" s="491"/>
      <c r="C27" s="491"/>
      <c r="D27" s="491"/>
      <c r="E27" s="491"/>
      <c r="F27" s="491"/>
      <c r="G27" s="491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90" t="s">
        <v>154</v>
      </c>
      <c r="B29" s="490"/>
      <c r="C29" s="490"/>
      <c r="D29" s="490"/>
      <c r="E29" s="490"/>
      <c r="F29" s="490"/>
      <c r="G29" s="490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75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75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97" t="s">
        <v>3</v>
      </c>
      <c r="C44" s="497"/>
      <c r="D44" s="497"/>
      <c r="E44" s="497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502" t="s">
        <v>3</v>
      </c>
      <c r="C56" s="502"/>
      <c r="D56" s="502"/>
      <c r="E56" s="502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83" t="s">
        <v>3</v>
      </c>
      <c r="C66" s="483"/>
      <c r="D66" s="483"/>
      <c r="E66" s="483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500" t="s">
        <v>3</v>
      </c>
      <c r="C77" s="500"/>
      <c r="D77" s="500"/>
      <c r="E77" s="500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500" t="s">
        <v>3</v>
      </c>
      <c r="C86" s="500"/>
      <c r="D86" s="500"/>
      <c r="E86" s="500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97" t="s">
        <v>3</v>
      </c>
      <c r="C97" s="497"/>
      <c r="D97" s="497"/>
      <c r="E97" s="497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75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83" t="s">
        <v>3</v>
      </c>
      <c r="C106" s="483"/>
      <c r="D106" s="483"/>
      <c r="E106" s="483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3" t="s">
        <v>3</v>
      </c>
      <c r="C123" s="483"/>
      <c r="D123" s="483"/>
      <c r="E123" s="483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75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3" t="s">
        <v>3</v>
      </c>
      <c r="C132" s="483"/>
      <c r="D132" s="483"/>
      <c r="E132" s="483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87" t="s">
        <v>3</v>
      </c>
      <c r="C139" s="488"/>
      <c r="D139" s="488"/>
      <c r="E139" s="489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7" t="s">
        <v>3</v>
      </c>
      <c r="C151" s="488"/>
      <c r="D151" s="488"/>
      <c r="E151" s="489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75">
      <c r="A154" s="501" t="s">
        <v>157</v>
      </c>
      <c r="B154" s="501"/>
      <c r="C154" s="501"/>
      <c r="D154" s="501"/>
      <c r="E154" s="501"/>
      <c r="F154" s="87" t="s">
        <v>0</v>
      </c>
      <c r="G154" s="164">
        <f>+G19</f>
        <v>17290.75</v>
      </c>
      <c r="I154" s="63">
        <f>RESUMEN!G29</f>
        <v>384251.49833333335</v>
      </c>
    </row>
    <row r="157" spans="1:9" ht="15.75">
      <c r="G157" s="164"/>
    </row>
    <row r="158" spans="1:9" ht="15.75">
      <c r="G158" s="164"/>
    </row>
    <row r="159" spans="1:9" ht="15.75">
      <c r="A159" s="262" t="s">
        <v>278</v>
      </c>
      <c r="B159" s="262" t="s">
        <v>270</v>
      </c>
      <c r="C159" s="263" t="s">
        <v>272</v>
      </c>
      <c r="G159" s="164"/>
    </row>
    <row r="160" spans="1:9" ht="15.75">
      <c r="A160" s="261">
        <v>1</v>
      </c>
      <c r="B160" s="260" t="s">
        <v>271</v>
      </c>
      <c r="C160" s="260" t="s">
        <v>273</v>
      </c>
      <c r="G160" s="164"/>
    </row>
    <row r="161" spans="1:7" ht="15.75">
      <c r="A161" s="261">
        <v>2</v>
      </c>
      <c r="B161" s="260" t="s">
        <v>274</v>
      </c>
      <c r="C161" s="260" t="s">
        <v>275</v>
      </c>
      <c r="G161" s="164"/>
    </row>
    <row r="162" spans="1:7" ht="15.75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  <mergeCell ref="A3:G3"/>
    <mergeCell ref="B77:E77"/>
    <mergeCell ref="A29:G29"/>
    <mergeCell ref="C14:F14"/>
    <mergeCell ref="B19:F19"/>
  </mergeCells>
  <phoneticPr fontId="0" type="noConversion"/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2578125" defaultRowHeight="12.75"/>
  <cols>
    <col min="1" max="1" width="7.5703125" style="70" customWidth="1"/>
    <col min="2" max="2" width="57" style="70" customWidth="1"/>
    <col min="3" max="3" width="18" style="70" customWidth="1"/>
    <col min="4" max="4" width="15.7109375" style="70" customWidth="1"/>
    <col min="5" max="5" width="11.140625" style="73" customWidth="1"/>
    <col min="6" max="6" width="14.7109375" style="70" customWidth="1"/>
    <col min="7" max="7" width="16.85546875" style="70" customWidth="1"/>
    <col min="8" max="16384" width="11.42578125" style="63"/>
  </cols>
  <sheetData>
    <row r="1" spans="1:7" ht="27" customHeight="1">
      <c r="A1" s="498" t="s">
        <v>169</v>
      </c>
      <c r="B1" s="498"/>
      <c r="C1" s="498"/>
      <c r="D1" s="498"/>
      <c r="E1" s="498"/>
      <c r="F1" s="498"/>
      <c r="G1" s="498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99" t="str">
        <f>'R'!C13</f>
        <v>“OPTIMIZACIÓN  DE COBERTURA METALICA Y TRIBUNA DE LA IE No. 550006 BELEN DE OSMA Y PARDO, PROVINCIA DE ANDAHUAYLAS-REGION APURIMAC"</v>
      </c>
      <c r="D9" s="499"/>
      <c r="E9" s="499"/>
      <c r="F9" s="499"/>
      <c r="G9" s="499"/>
    </row>
    <row r="10" spans="1:7" ht="18" customHeight="1">
      <c r="B10" s="29"/>
      <c r="C10" s="499"/>
      <c r="D10" s="499"/>
      <c r="E10" s="499"/>
      <c r="F10" s="499"/>
      <c r="G10" s="499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94" t="s">
        <v>37</v>
      </c>
      <c r="D13" s="494"/>
      <c r="E13" s="494"/>
      <c r="F13" s="494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95" t="s">
        <v>263</v>
      </c>
      <c r="C18" s="496"/>
      <c r="D18" s="496"/>
      <c r="E18" s="496"/>
      <c r="F18" s="496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90" t="s">
        <v>42</v>
      </c>
      <c r="B22" s="491"/>
      <c r="C22" s="491"/>
      <c r="D22" s="491"/>
      <c r="E22" s="491"/>
      <c r="F22" s="491"/>
      <c r="G22" s="491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90" t="s">
        <v>261</v>
      </c>
      <c r="B24" s="490"/>
      <c r="C24" s="490"/>
      <c r="D24" s="490"/>
      <c r="E24" s="490"/>
      <c r="F24" s="490"/>
      <c r="G24" s="490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75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97" t="s">
        <v>3</v>
      </c>
      <c r="C37" s="497"/>
      <c r="D37" s="497"/>
      <c r="E37" s="497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502" t="s">
        <v>3</v>
      </c>
      <c r="C49" s="502"/>
      <c r="D49" s="502"/>
      <c r="E49" s="502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83" t="s">
        <v>3</v>
      </c>
      <c r="C59" s="483"/>
      <c r="D59" s="483"/>
      <c r="E59" s="483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6" t="s">
        <v>3</v>
      </c>
      <c r="C70" s="506"/>
      <c r="D70" s="506"/>
      <c r="E70" s="506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6" t="s">
        <v>3</v>
      </c>
      <c r="C79" s="506"/>
      <c r="D79" s="506"/>
      <c r="E79" s="506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97" t="s">
        <v>3</v>
      </c>
      <c r="C90" s="497"/>
      <c r="D90" s="497"/>
      <c r="E90" s="497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75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75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83" t="s">
        <v>3</v>
      </c>
      <c r="C176" s="483"/>
      <c r="D176" s="483"/>
      <c r="E176" s="483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75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75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83" t="s">
        <v>3</v>
      </c>
      <c r="C186" s="483"/>
      <c r="D186" s="483"/>
      <c r="E186" s="483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87" t="s">
        <v>3</v>
      </c>
      <c r="C197" s="488"/>
      <c r="D197" s="488"/>
      <c r="E197" s="489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75">
      <c r="A200" s="501" t="s">
        <v>262</v>
      </c>
      <c r="B200" s="501"/>
      <c r="C200" s="501"/>
      <c r="D200" s="501"/>
      <c r="E200" s="501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  <mergeCell ref="A1:G1"/>
    <mergeCell ref="C9:G10"/>
    <mergeCell ref="C13:F13"/>
    <mergeCell ref="B18:F18"/>
    <mergeCell ref="A22:G22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tabSelected="1" view="pageBreakPreview" zoomScale="106" zoomScaleNormal="100" zoomScaleSheetLayoutView="106" workbookViewId="0">
      <selection activeCell="F121" sqref="F121"/>
    </sheetView>
  </sheetViews>
  <sheetFormatPr baseColWidth="10" defaultColWidth="11.42578125" defaultRowHeight="12.75"/>
  <cols>
    <col min="1" max="1" width="7.5703125" style="70" customWidth="1"/>
    <col min="2" max="2" width="46" style="70" customWidth="1"/>
    <col min="3" max="3" width="20.5703125" style="70" customWidth="1"/>
    <col min="4" max="4" width="15.7109375" style="70" customWidth="1"/>
    <col min="5" max="5" width="11.140625" style="73" customWidth="1"/>
    <col min="6" max="6" width="16.42578125" style="70" customWidth="1"/>
    <col min="7" max="7" width="16.85546875" style="70" customWidth="1"/>
    <col min="8" max="16384" width="11.42578125" style="63"/>
  </cols>
  <sheetData>
    <row r="1" spans="1:7" ht="20.25" customHeight="1"/>
    <row r="2" spans="1:7" ht="20.25" customHeight="1"/>
    <row r="3" spans="1:7" ht="27" customHeight="1">
      <c r="A3" s="505" t="s">
        <v>587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99" t="s">
        <v>654</v>
      </c>
      <c r="D10" s="499"/>
      <c r="E10" s="499"/>
      <c r="F10" s="499"/>
      <c r="G10" s="499"/>
    </row>
    <row r="11" spans="1:7" ht="22.9" customHeight="1">
      <c r="B11" s="29"/>
      <c r="C11" s="499"/>
      <c r="D11" s="499"/>
      <c r="E11" s="499"/>
      <c r="F11" s="499"/>
      <c r="G11" s="49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94" t="s">
        <v>37</v>
      </c>
      <c r="D14" s="494"/>
      <c r="E14" s="494"/>
      <c r="F14" s="494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95" t="s">
        <v>589</v>
      </c>
      <c r="C19" s="496"/>
      <c r="D19" s="496"/>
      <c r="E19" s="496"/>
      <c r="F19" s="496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90" t="s">
        <v>42</v>
      </c>
      <c r="B27" s="491"/>
      <c r="C27" s="491"/>
      <c r="D27" s="491"/>
      <c r="E27" s="491"/>
      <c r="F27" s="491"/>
      <c r="G27" s="491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90" t="s">
        <v>588</v>
      </c>
      <c r="B29" s="490"/>
      <c r="C29" s="490"/>
      <c r="D29" s="490"/>
      <c r="E29" s="490"/>
      <c r="F29" s="490"/>
      <c r="G29" s="490"/>
    </row>
    <row r="30" spans="1:10" ht="27" customHeight="1">
      <c r="A30" s="431"/>
      <c r="B30" s="431"/>
      <c r="C30" s="431"/>
      <c r="D30" s="431"/>
      <c r="E30" s="431"/>
      <c r="F30" s="431"/>
      <c r="G30" s="431"/>
    </row>
    <row r="31" spans="1:10" ht="27" customHeight="1">
      <c r="A31" s="431"/>
      <c r="B31" s="431"/>
      <c r="C31" s="431"/>
      <c r="D31" s="431"/>
      <c r="E31" s="431"/>
      <c r="F31" s="431"/>
      <c r="G31" s="431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75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75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2" t="s">
        <v>46</v>
      </c>
      <c r="D41" s="432" t="s">
        <v>47</v>
      </c>
      <c r="E41" s="432" t="s">
        <v>14</v>
      </c>
      <c r="F41" s="432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97" t="s">
        <v>3</v>
      </c>
      <c r="C44" s="497"/>
      <c r="D44" s="497"/>
      <c r="E44" s="497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2" t="s">
        <v>46</v>
      </c>
      <c r="D53" s="432" t="s">
        <v>47</v>
      </c>
      <c r="E53" s="432" t="s">
        <v>14</v>
      </c>
      <c r="F53" s="432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502" t="s">
        <v>3</v>
      </c>
      <c r="C56" s="502"/>
      <c r="D56" s="502"/>
      <c r="E56" s="502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2" t="s">
        <v>46</v>
      </c>
      <c r="D63" s="432" t="s">
        <v>47</v>
      </c>
      <c r="E63" s="432" t="s">
        <v>14</v>
      </c>
      <c r="F63" s="432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83" t="s">
        <v>3</v>
      </c>
      <c r="C66" s="483"/>
      <c r="D66" s="483"/>
      <c r="E66" s="483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2" t="s">
        <v>46</v>
      </c>
      <c r="D74" s="432" t="s">
        <v>47</v>
      </c>
      <c r="E74" s="432" t="s">
        <v>14</v>
      </c>
      <c r="F74" s="432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500" t="s">
        <v>3</v>
      </c>
      <c r="C77" s="500"/>
      <c r="D77" s="500"/>
      <c r="E77" s="500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2" t="s">
        <v>46</v>
      </c>
      <c r="D83" s="432" t="s">
        <v>47</v>
      </c>
      <c r="E83" s="432" t="s">
        <v>14</v>
      </c>
      <c r="F83" s="432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500" t="s">
        <v>3</v>
      </c>
      <c r="C86" s="500"/>
      <c r="D86" s="500"/>
      <c r="E86" s="500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2" t="s">
        <v>46</v>
      </c>
      <c r="D94" s="432" t="s">
        <v>47</v>
      </c>
      <c r="E94" s="432" t="s">
        <v>14</v>
      </c>
      <c r="F94" s="432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97" t="s">
        <v>3</v>
      </c>
      <c r="C97" s="497"/>
      <c r="D97" s="497"/>
      <c r="E97" s="497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75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83" t="s">
        <v>3</v>
      </c>
      <c r="C106" s="483"/>
      <c r="D106" s="483"/>
      <c r="E106" s="483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3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2" t="s">
        <v>63</v>
      </c>
      <c r="D110" s="432" t="s">
        <v>25</v>
      </c>
      <c r="E110" s="432" t="s">
        <v>5</v>
      </c>
      <c r="F110" s="432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3" t="s">
        <v>3</v>
      </c>
      <c r="C123" s="483"/>
      <c r="D123" s="483"/>
      <c r="E123" s="483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75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3" t="s">
        <v>3</v>
      </c>
      <c r="C132" s="483"/>
      <c r="D132" s="483"/>
      <c r="E132" s="483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2" t="s">
        <v>63</v>
      </c>
      <c r="D135" s="432" t="s">
        <v>25</v>
      </c>
      <c r="E135" s="432" t="s">
        <v>5</v>
      </c>
      <c r="F135" s="432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87" t="s">
        <v>3</v>
      </c>
      <c r="C139" s="488"/>
      <c r="D139" s="488"/>
      <c r="E139" s="489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3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2" t="s">
        <v>63</v>
      </c>
      <c r="D147" s="432" t="s">
        <v>25</v>
      </c>
      <c r="E147" s="432" t="s">
        <v>5</v>
      </c>
      <c r="F147" s="432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7" t="s">
        <v>3</v>
      </c>
      <c r="C151" s="488"/>
      <c r="D151" s="488"/>
      <c r="E151" s="489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75">
      <c r="A154" s="501" t="s">
        <v>589</v>
      </c>
      <c r="B154" s="501"/>
      <c r="C154" s="501"/>
      <c r="D154" s="501"/>
      <c r="E154" s="501"/>
      <c r="F154" s="87" t="s">
        <v>0</v>
      </c>
      <c r="G154" s="164">
        <f>+G19</f>
        <v>15464.06</v>
      </c>
      <c r="I154" s="63">
        <f>RESUMEN!G29</f>
        <v>384251.49833333335</v>
      </c>
    </row>
    <row r="157" spans="1:9" ht="15.75">
      <c r="G157" s="164"/>
    </row>
    <row r="158" spans="1:9" ht="15.75">
      <c r="G158" s="164"/>
    </row>
    <row r="159" spans="1:9" ht="15.75">
      <c r="A159" s="262" t="s">
        <v>278</v>
      </c>
      <c r="B159" s="262" t="s">
        <v>270</v>
      </c>
      <c r="C159" s="263" t="s">
        <v>272</v>
      </c>
      <c r="G159" s="164"/>
    </row>
    <row r="160" spans="1:9" ht="15.75">
      <c r="A160" s="261">
        <v>1</v>
      </c>
      <c r="B160" s="260" t="s">
        <v>271</v>
      </c>
      <c r="C160" s="260" t="s">
        <v>273</v>
      </c>
      <c r="G160" s="164"/>
    </row>
    <row r="161" spans="1:7" ht="15.75">
      <c r="A161" s="261">
        <v>2</v>
      </c>
      <c r="B161" s="260" t="s">
        <v>274</v>
      </c>
      <c r="C161" s="260" t="s">
        <v>275</v>
      </c>
      <c r="G161" s="164"/>
    </row>
    <row r="162" spans="1:7" ht="15.75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29:G29"/>
    <mergeCell ref="A3:G3"/>
    <mergeCell ref="C10:G11"/>
    <mergeCell ref="C14:F14"/>
    <mergeCell ref="B19:F19"/>
    <mergeCell ref="A27:G27"/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</mergeCells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GUERRERO</cp:lastModifiedBy>
  <cp:lastPrinted>2019-11-11T16:30:17Z</cp:lastPrinted>
  <dcterms:created xsi:type="dcterms:W3CDTF">2003-01-21T17:07:22Z</dcterms:created>
  <dcterms:modified xsi:type="dcterms:W3CDTF">2020-05-28T18:28:58Z</dcterms:modified>
</cp:coreProperties>
</file>